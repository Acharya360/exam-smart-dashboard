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Keshav Jankar Projects\Exam Smart Dashboard\docs\"/>
    </mc:Choice>
  </mc:AlternateContent>
  <xr:revisionPtr revIDLastSave="0" documentId="8_{D812367C-E135-491D-9BAF-2DB6600D1148}" xr6:coauthVersionLast="47" xr6:coauthVersionMax="47" xr10:uidLastSave="{00000000-0000-0000-0000-000000000000}"/>
  <bookViews>
    <workbookView xWindow="-108" yWindow="-108" windowWidth="23256" windowHeight="12456" tabRatio="652" activeTab="3" xr2:uid="{00000000-000D-0000-FFFF-FFFF00000000}"/>
  </bookViews>
  <sheets>
    <sheet name="CAT -01" sheetId="18" r:id="rId1"/>
    <sheet name="CAP -01" sheetId="19" r:id="rId2"/>
    <sheet name="CAS -01" sheetId="21" r:id="rId3"/>
    <sheet name="Combine CA - 01" sheetId="17" r:id="rId4"/>
    <sheet name="ESP" sheetId="11" r:id="rId5"/>
    <sheet name="ESS-Integrated Project Rubric" sheetId="15" r:id="rId6"/>
    <sheet name="Attandance Report - All" sheetId="14" r:id="rId7"/>
  </sheets>
  <definedNames>
    <definedName name="_xlnm.Print_Area" localSheetId="6">'Attandance Report - All'!$A$1:$D$64</definedName>
    <definedName name="_xlnm.Print_Area" localSheetId="1">'CAP -01'!$A$1:$G$63</definedName>
    <definedName name="_xlnm.Print_Area" localSheetId="2">'CAS -01'!$A$1:$G$63</definedName>
    <definedName name="_xlnm.Print_Area" localSheetId="0">'CAT -01'!$A$1:$D$63</definedName>
    <definedName name="_xlnm.Print_Area" localSheetId="3">'Combine CA - 01'!$A$1:$G$62</definedName>
    <definedName name="_xlnm.Print_Area" localSheetId="5">'ESS-Integrated Project Rubric'!$A$1:$S$65</definedName>
    <definedName name="_xlnm.Print_Titles" localSheetId="6">'Attandance Report - All'!$1:$13</definedName>
    <definedName name="_xlnm.Print_Titles" localSheetId="1">'CAP -01'!$13:$13</definedName>
    <definedName name="_xlnm.Print_Titles" localSheetId="2">'CAS -01'!$13:$13</definedName>
    <definedName name="_xlnm.Print_Titles" localSheetId="0">'CAT -01'!$13:$13</definedName>
    <definedName name="_xlnm.Print_Titles" localSheetId="3">'Combine CA - 01'!$13:$13</definedName>
    <definedName name="_xlnm.Print_Titles" localSheetId="5">'ESS-Integrated Project Rubric'!$1:$12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17" l="1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16" i="19" l="1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46" i="21"/>
  <c r="G47" i="21"/>
  <c r="G48" i="21"/>
  <c r="G49" i="21"/>
  <c r="G50" i="21"/>
  <c r="G51" i="21"/>
  <c r="G52" i="21"/>
  <c r="G53" i="21"/>
  <c r="G54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16" i="21"/>
  <c r="G40" i="21"/>
  <c r="G41" i="21"/>
  <c r="G42" i="21"/>
  <c r="G43" i="21"/>
  <c r="G44" i="21"/>
  <c r="G45" i="21"/>
  <c r="P15" i="15"/>
  <c r="P16" i="15"/>
  <c r="P17" i="15"/>
  <c r="P18" i="15"/>
  <c r="P19" i="15"/>
  <c r="P20" i="15"/>
  <c r="P21" i="15"/>
  <c r="P22" i="15"/>
  <c r="P23" i="15"/>
  <c r="P24" i="15"/>
  <c r="P25" i="15"/>
  <c r="P26" i="15"/>
  <c r="P27" i="15"/>
  <c r="P28" i="15"/>
  <c r="P29" i="15"/>
  <c r="P30" i="15"/>
  <c r="P31" i="15"/>
  <c r="P32" i="15"/>
  <c r="P33" i="15"/>
  <c r="P34" i="15"/>
  <c r="P35" i="15"/>
  <c r="P36" i="15"/>
  <c r="P37" i="15"/>
  <c r="P38" i="15"/>
  <c r="P39" i="15"/>
  <c r="P40" i="15"/>
  <c r="P41" i="15"/>
  <c r="P42" i="15"/>
  <c r="P43" i="15"/>
  <c r="P44" i="15"/>
  <c r="P45" i="15"/>
  <c r="P46" i="15"/>
  <c r="P47" i="15"/>
  <c r="P48" i="15"/>
  <c r="P49" i="15"/>
  <c r="I15" i="15"/>
  <c r="I16" i="15"/>
  <c r="Q16" i="15" s="1"/>
  <c r="R16" i="15" s="1"/>
  <c r="I17" i="15"/>
  <c r="Q17" i="15" s="1"/>
  <c r="R17" i="15" s="1"/>
  <c r="I18" i="15"/>
  <c r="I19" i="15"/>
  <c r="Q19" i="15" s="1"/>
  <c r="R19" i="15" s="1"/>
  <c r="I20" i="15"/>
  <c r="I21" i="15"/>
  <c r="Q21" i="15" s="1"/>
  <c r="R21" i="15" s="1"/>
  <c r="I22" i="15"/>
  <c r="I23" i="15"/>
  <c r="I24" i="15"/>
  <c r="I25" i="15"/>
  <c r="Q25" i="15" s="1"/>
  <c r="R25" i="15" s="1"/>
  <c r="I26" i="15"/>
  <c r="I27" i="15"/>
  <c r="Q27" i="15" s="1"/>
  <c r="R27" i="15" s="1"/>
  <c r="I28" i="15"/>
  <c r="I29" i="15"/>
  <c r="I30" i="15"/>
  <c r="I31" i="15"/>
  <c r="I32" i="15"/>
  <c r="Q32" i="15" s="1"/>
  <c r="R32" i="15" s="1"/>
  <c r="I33" i="15"/>
  <c r="Q33" i="15" s="1"/>
  <c r="R33" i="15" s="1"/>
  <c r="I34" i="15"/>
  <c r="I35" i="15"/>
  <c r="Q35" i="15" s="1"/>
  <c r="R35" i="15" s="1"/>
  <c r="I36" i="15"/>
  <c r="I37" i="15"/>
  <c r="Q37" i="15" s="1"/>
  <c r="R37" i="15" s="1"/>
  <c r="I38" i="15"/>
  <c r="I39" i="15"/>
  <c r="Q39" i="15" s="1"/>
  <c r="R39" i="15" s="1"/>
  <c r="I40" i="15"/>
  <c r="Q40" i="15" s="1"/>
  <c r="R40" i="15" s="1"/>
  <c r="I41" i="15"/>
  <c r="Q41" i="15" s="1"/>
  <c r="R41" i="15" s="1"/>
  <c r="I42" i="15"/>
  <c r="Q42" i="15" s="1"/>
  <c r="R42" i="15" s="1"/>
  <c r="I43" i="15"/>
  <c r="I44" i="15"/>
  <c r="I45" i="15"/>
  <c r="Q45" i="15" s="1"/>
  <c r="R45" i="15" s="1"/>
  <c r="I46" i="15"/>
  <c r="I47" i="15"/>
  <c r="I48" i="15"/>
  <c r="I49" i="15"/>
  <c r="Q49" i="15" s="1"/>
  <c r="R49" i="15" s="1"/>
  <c r="Q38" i="15" l="1"/>
  <c r="R38" i="15" s="1"/>
  <c r="Q15" i="15"/>
  <c r="R15" i="15" s="1"/>
  <c r="Q18" i="15"/>
  <c r="R18" i="15" s="1"/>
  <c r="Q26" i="15"/>
  <c r="R26" i="15" s="1"/>
  <c r="Q36" i="15"/>
  <c r="R36" i="15" s="1"/>
  <c r="Q28" i="15"/>
  <c r="R28" i="15" s="1"/>
  <c r="Q20" i="15"/>
  <c r="R20" i="15" s="1"/>
  <c r="Q34" i="15"/>
  <c r="R34" i="15" s="1"/>
  <c r="Q47" i="15"/>
  <c r="R47" i="15" s="1"/>
  <c r="Q24" i="15"/>
  <c r="R24" i="15" s="1"/>
  <c r="Q23" i="15"/>
  <c r="R23" i="15" s="1"/>
  <c r="Q31" i="15"/>
  <c r="R31" i="15" s="1"/>
  <c r="Q30" i="15"/>
  <c r="R30" i="15" s="1"/>
  <c r="Q29" i="15"/>
  <c r="R29" i="15" s="1"/>
  <c r="Q48" i="15"/>
  <c r="R48" i="15" s="1"/>
  <c r="Q44" i="15"/>
  <c r="R44" i="15" s="1"/>
  <c r="Q43" i="15"/>
  <c r="R43" i="15" s="1"/>
  <c r="Q46" i="15"/>
  <c r="R46" i="15" s="1"/>
  <c r="Q22" i="15"/>
  <c r="R22" i="15" s="1"/>
  <c r="G15" i="19"/>
  <c r="G15" i="21"/>
  <c r="G15" i="17" l="1"/>
  <c r="I50" i="15"/>
  <c r="I51" i="15"/>
  <c r="I52" i="15"/>
  <c r="I53" i="15"/>
  <c r="I14" i="15"/>
  <c r="P13" i="15"/>
  <c r="P50" i="15"/>
  <c r="P51" i="15"/>
  <c r="P52" i="15"/>
  <c r="P53" i="15"/>
  <c r="P14" i="15"/>
  <c r="I13" i="15"/>
  <c r="Q14" i="15" l="1"/>
  <c r="R14" i="15" s="1"/>
  <c r="Q13" i="15"/>
  <c r="R13" i="15" s="1"/>
  <c r="Q53" i="15"/>
  <c r="R53" i="15" s="1"/>
  <c r="Q52" i="15"/>
  <c r="R52" i="15" s="1"/>
  <c r="Q50" i="15"/>
  <c r="R50" i="15" s="1"/>
  <c r="Q51" i="15"/>
  <c r="R51" i="15" s="1"/>
</calcChain>
</file>

<file path=xl/sharedStrings.xml><?xml version="1.0" encoding="utf-8"?>
<sst xmlns="http://schemas.openxmlformats.org/spreadsheetml/2006/main" count="461" uniqueCount="132">
  <si>
    <t>Sr. No.</t>
  </si>
  <si>
    <t>PRN</t>
  </si>
  <si>
    <t xml:space="preserve"> </t>
  </si>
  <si>
    <t>Name :</t>
  </si>
  <si>
    <t xml:space="preserve">Semester : </t>
  </si>
  <si>
    <t xml:space="preserve">Name of the Course : </t>
  </si>
  <si>
    <t xml:space="preserve">Course Code : </t>
  </si>
  <si>
    <t>Practical 1</t>
  </si>
  <si>
    <t>Practical 2</t>
  </si>
  <si>
    <t>(Out of 10)</t>
  </si>
  <si>
    <t>Practical</t>
  </si>
  <si>
    <r>
      <t xml:space="preserve"> </t>
    </r>
    <r>
      <rPr>
        <b/>
        <sz val="16"/>
        <color rgb="FFFF0000"/>
        <rFont val="Times New Roman"/>
        <family val="1"/>
      </rPr>
      <t xml:space="preserve">SYMBIOSIS SKILLS AND PROFESSIONAL UNIVERSITY, PUNE
</t>
    </r>
    <r>
      <rPr>
        <sz val="10"/>
        <color theme="1"/>
        <rFont val="Times New Roman"/>
        <family val="1"/>
      </rPr>
      <t xml:space="preserve">(University enacted through a bill passed by State Legislation and an official gazette dated 3rd May 2017,
Maharashtra Act No. XXXVII of 2017) </t>
    </r>
  </si>
  <si>
    <r>
      <rPr>
        <b/>
        <sz val="16"/>
        <color rgb="FFFF0000"/>
        <rFont val="Times New Roman"/>
        <family val="1"/>
      </rPr>
      <t xml:space="preserve">SYMBIOSIS SKILLS AND PROFESSIONAL UNIVERSITY, PUNE
</t>
    </r>
    <r>
      <rPr>
        <sz val="10"/>
        <color theme="1"/>
        <rFont val="Times New Roman"/>
        <family val="1"/>
      </rPr>
      <t xml:space="preserve">(University enacted through a bill passed by State Legislation and an official gazette dated 3rd May 2017,
Maharashtra Act No. XXXVII of 2017) </t>
    </r>
  </si>
  <si>
    <r>
      <rPr>
        <b/>
        <sz val="14"/>
        <color rgb="FFFF0000"/>
        <rFont val="Times New Roman"/>
        <family val="1"/>
      </rPr>
      <t xml:space="preserve">SYMBIOSIS SKILLS AND PROFESSIONAL UNIVERSITY, PUNE
</t>
    </r>
    <r>
      <rPr>
        <sz val="10"/>
        <color theme="1"/>
        <rFont val="Times New Roman"/>
        <family val="1"/>
      </rPr>
      <t xml:space="preserve">(University enacted through a bill passed by State Legislation and an official gazette dated 3rd May 2017, 
Maharashtra Act No. XXXVII of 2017) </t>
    </r>
  </si>
  <si>
    <t>Total No. of Students :</t>
  </si>
  <si>
    <t>Total Present Students :</t>
  </si>
  <si>
    <t>Total Absent Students :</t>
  </si>
  <si>
    <t>Name &amp; Signature of 
Internal Examiner</t>
  </si>
  <si>
    <t>Name &amp; Signature of 
External Examiner</t>
  </si>
  <si>
    <t>Date &amp; Day :</t>
  </si>
  <si>
    <r>
      <t xml:space="preserve">Exam Type : </t>
    </r>
    <r>
      <rPr>
        <sz val="12"/>
        <color theme="1"/>
        <rFont val="Times New Roman"/>
        <family val="1"/>
      </rPr>
      <t>Regular / Backlog</t>
    </r>
  </si>
  <si>
    <t>Signature of  Student</t>
  </si>
  <si>
    <t>Signature &amp; Date of the Teacher :</t>
  </si>
  <si>
    <t>Name &amp; Signature of 
School Director/Head of the School</t>
  </si>
  <si>
    <t>Max : 20</t>
  </si>
  <si>
    <t>Name of the Student</t>
  </si>
  <si>
    <t>Verified Stamp</t>
  </si>
  <si>
    <t>Remark
(Pass / Fail)</t>
  </si>
  <si>
    <t>Header 1</t>
  </si>
  <si>
    <t>Header 2</t>
  </si>
  <si>
    <t>Header 3</t>
  </si>
  <si>
    <t>Header 4</t>
  </si>
  <si>
    <t>End Semester Practical Assessment</t>
  </si>
  <si>
    <t>Problem and Desing Review</t>
  </si>
  <si>
    <t>Desing &amp; Methodology</t>
  </si>
  <si>
    <t>Implementation and Results</t>
  </si>
  <si>
    <t>Integration of Subjects</t>
  </si>
  <si>
    <t>Report &amp; Presentation</t>
  </si>
  <si>
    <t>Example</t>
  </si>
  <si>
    <t>Exam Date &amp; Day :</t>
  </si>
  <si>
    <t>End Semester Skill Assessment (Integrated Project)</t>
  </si>
  <si>
    <t xml:space="preserve">(University enacted through a bill passed by State Legislation and an official gazette dated 3rd May 2017, 
Maharashtra Act No. XXXVII of 2017) </t>
  </si>
  <si>
    <t>SYMBIOSIS SKILLS AND PROFESSIONAL UNIVERSITY, PUNE</t>
  </si>
  <si>
    <t>Pass</t>
  </si>
  <si>
    <t>Total Marks</t>
  </si>
  <si>
    <t>Review Evaluation (Continous Evaluation)
50 % Weightage</t>
  </si>
  <si>
    <t>Final Evaluation (End Term Exam)
 50 % Weightage</t>
  </si>
  <si>
    <t xml:space="preserve">Total Marks A  </t>
  </si>
  <si>
    <t>Group no /Name</t>
  </si>
  <si>
    <t>(A+B)</t>
  </si>
  <si>
    <t>Group 1</t>
  </si>
  <si>
    <t>Progress
Review-1</t>
  </si>
  <si>
    <t>Progress
Review-2</t>
  </si>
  <si>
    <t>Progress
Review-3</t>
  </si>
  <si>
    <t>Problem Definition &amp; 
Literature Review</t>
  </si>
  <si>
    <t>Team Work &amp;
Professional Ethics</t>
  </si>
  <si>
    <t>Max :15</t>
  </si>
  <si>
    <t>Min : 6</t>
  </si>
  <si>
    <t>Continous Assessment/End Semester Practical / Skill Assessment</t>
  </si>
  <si>
    <t>Marks Convertend in to 15</t>
  </si>
  <si>
    <t>Max : 10</t>
  </si>
  <si>
    <t>Max : 15</t>
  </si>
  <si>
    <t>Max : 45</t>
  </si>
  <si>
    <t xml:space="preserve">Total Marks </t>
  </si>
  <si>
    <t>Academic Year : 2026 - 27 (Term - I)</t>
  </si>
  <si>
    <t>Mark List (Sept/Oct/Nov/Dec 2026)</t>
  </si>
  <si>
    <t>Continuous Assessment - 01</t>
  </si>
  <si>
    <t>CAT-01</t>
  </si>
  <si>
    <t>CAP-01</t>
  </si>
  <si>
    <t>CAS-01</t>
  </si>
  <si>
    <t>Total Marks 
(CAT -01)</t>
  </si>
  <si>
    <t>Continuous Assessment Theory - 01</t>
  </si>
  <si>
    <t>Continuous Assessment Practical - 01</t>
  </si>
  <si>
    <t>Total CAP - 01
Marks</t>
  </si>
  <si>
    <t>Skill 1</t>
  </si>
  <si>
    <t>Skill 2</t>
  </si>
  <si>
    <t>Continuous Assessment Skill - 01</t>
  </si>
  <si>
    <t>ATTANDANCE REPORT
(Sept/Oct/Nov/Dec 2026)</t>
  </si>
  <si>
    <t>Akash Abaji Latpate</t>
  </si>
  <si>
    <t>Anurag Raghunath Nair</t>
  </si>
  <si>
    <t>Aryan Sanjay Pagare</t>
  </si>
  <si>
    <t>Aryan Vishal Bhujbal</t>
  </si>
  <si>
    <t>Avadhut Mahesh More</t>
  </si>
  <si>
    <t>Bhaumik Pankaj Sharma</t>
  </si>
  <si>
    <t>Celina Vincent Johar</t>
  </si>
  <si>
    <t>Daksh Prashant Wagadre</t>
  </si>
  <si>
    <t>Deepanshi  Jain</t>
  </si>
  <si>
    <t>Gaurav Shripati Waghole</t>
  </si>
  <si>
    <t>Gunjan  Mittal</t>
  </si>
  <si>
    <t>Harsh Kiran Talkar</t>
  </si>
  <si>
    <t>Himanshu  Kumar</t>
  </si>
  <si>
    <t>Jitendra Savaram Choudhary</t>
  </si>
  <si>
    <t>Krish Rahul Jambhale</t>
  </si>
  <si>
    <t>Krrish Deepak Mittal</t>
  </si>
  <si>
    <t>Labhansh  Rajpurohit</t>
  </si>
  <si>
    <t>Madhav  Gupta</t>
  </si>
  <si>
    <t>Marushka  Johnson</t>
  </si>
  <si>
    <t>Mohammad Mujib Kalim  Ahamad Chougule</t>
  </si>
  <si>
    <t>Niraj Santosh Barne</t>
  </si>
  <si>
    <t>Om Laxman Balwadkar</t>
  </si>
  <si>
    <t>Parth Lalitkumar Dhandhiya</t>
  </si>
  <si>
    <t>Parth Rakesh Balwadkar</t>
  </si>
  <si>
    <t>Pradyuman  Birla</t>
  </si>
  <si>
    <t>Prithviraj Nilesh Balwadkar</t>
  </si>
  <si>
    <t>Rajat Anil Sharma</t>
  </si>
  <si>
    <t>Samar Sunil Kaushik</t>
  </si>
  <si>
    <t>Satyaki Rahul Bhagat</t>
  </si>
  <si>
    <t>Siddharth Sachin Dubal</t>
  </si>
  <si>
    <t>Soham Jay Phadke</t>
  </si>
  <si>
    <t>Sushmita  Mishra</t>
  </si>
  <si>
    <t>Tanishq Manish Sinha</t>
  </si>
  <si>
    <t>Uttam Veer Singh</t>
  </si>
  <si>
    <t>Ojas Sanith Nair</t>
  </si>
  <si>
    <t>Aayush  Bhardwaj</t>
  </si>
  <si>
    <t>Parth Ramesh Suryawanshi</t>
  </si>
  <si>
    <t>Lakshika  Bandhwar</t>
  </si>
  <si>
    <t>Rachit  Kansra</t>
  </si>
  <si>
    <t>Mokssh  Ruparel</t>
  </si>
  <si>
    <t>Name of the Program : BBA Logistics and SCM</t>
  </si>
  <si>
    <t>Mark List (Sept 2026)</t>
  </si>
  <si>
    <t>Mark List (Sep 2026)</t>
  </si>
  <si>
    <t>Name of the Program : BA Logistics and SCM</t>
  </si>
  <si>
    <t>Name of the Course : International Business Management</t>
  </si>
  <si>
    <t>Course Code : Logi 501</t>
  </si>
  <si>
    <t>Semester : 5</t>
  </si>
  <si>
    <t xml:space="preserve">Name of the Teacher : Dr shailesh Kediya </t>
  </si>
  <si>
    <t xml:space="preserve">Name of the Course : International Business Management </t>
  </si>
  <si>
    <t xml:space="preserve">Name of the Teacher : Dr Shailesh kediya </t>
  </si>
  <si>
    <t>Semester : V</t>
  </si>
  <si>
    <t xml:space="preserve">Course Code : LOGI501 </t>
  </si>
  <si>
    <t>Name of the Teacher : Dr. Shailesh Kediya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</si>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</sst>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sz val="16"/>
      <color theme="1"/>
      <name val="Times New Roman"/>
      <family val="1"/>
    </font>
    <font>
      <b/>
      <sz val="16"/>
      <color rgb="FFFF000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0" tint="-0.249977111117893"/>
      <name val="Times New Roman"/>
      <family val="1"/>
    </font>
    <font>
      <b/>
      <sz val="16"/>
      <color theme="1"/>
      <name val="Times New Roman"/>
      <family val="1"/>
    </font>
    <font>
      <sz val="8"/>
      <name val="Calibri"/>
      <family val="2"/>
      <scheme val="minor"/>
    </font>
    <font>
      <b/>
      <sz val="18"/>
      <color rgb="FFFF0000"/>
      <name val="Times New Roman"/>
      <family val="1"/>
    </font>
    <font>
      <b/>
      <sz val="20"/>
      <color rgb="FFC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7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9" fontId="4" fillId="2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1" fillId="2" borderId="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4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wrapText="1"/>
    </xf>
    <xf numFmtId="0" fontId="8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wrapText="1"/>
    </xf>
    <xf numFmtId="0" fontId="12" fillId="0" borderId="0" xfId="0" applyFont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7" fontId="12" fillId="0" borderId="0" xfId="0" quotePrefix="1" applyNumberFormat="1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1133050</xdr:colOff>
      <xdr:row>0</xdr:row>
      <xdr:rowOff>95250</xdr:rowOff>
    </xdr:from>
    <xdr:to>
      <xdr:col>2</xdr:col>
      <xdr:colOff>1857799</xdr:colOff>
      <xdr:row>2</xdr:row>
      <xdr:rowOff>533400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706C17-A216-4A2B-8C91-C4048404FA0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485600" y="95250"/>
          <a:ext cx="724749" cy="8191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1663359</xdr:colOff>
      <xdr:row>0</xdr:row>
      <xdr:rowOff>127186</xdr:rowOff>
    </xdr:from>
    <xdr:to>
      <xdr:col>3</xdr:col>
      <xdr:colOff>97646</xdr:colOff>
      <xdr:row>3</xdr:row>
      <xdr:rowOff>22411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5F85F0-02EC-4A5A-A020-DAC380DFFDF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019271" y="127186"/>
          <a:ext cx="720287" cy="81410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1685771</xdr:colOff>
      <xdr:row>1</xdr:row>
      <xdr:rowOff>3922</xdr:rowOff>
    </xdr:from>
    <xdr:to>
      <xdr:col>3</xdr:col>
      <xdr:colOff>120058</xdr:colOff>
      <xdr:row>3</xdr:row>
      <xdr:rowOff>89647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90864C-DFC5-4CB1-9FE9-F84ACCAF572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041683" y="194422"/>
          <a:ext cx="720287" cy="81410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1199725</xdr:colOff>
      <xdr:row>0</xdr:row>
      <xdr:rowOff>114300</xdr:rowOff>
    </xdr:from>
    <xdr:to>
      <xdr:col>3</xdr:col>
      <xdr:colOff>38524</xdr:colOff>
      <xdr:row>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9E73D5-1C9B-47A8-8043-C85F575C383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552275" y="114300"/>
          <a:ext cx="724749" cy="8191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1000424</xdr:colOff>
      <xdr:row>0</xdr:row>
      <xdr:rowOff>757</xdr:rowOff>
    </xdr:from>
    <xdr:to>
      <xdr:col>4</xdr:col>
      <xdr:colOff>369793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BDA332-C13F-4E9C-A671-5E8FA88B2AC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4463042" y="757"/>
          <a:ext cx="489957" cy="57074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1038108</xdr:colOff>
      <xdr:row>0</xdr:row>
      <xdr:rowOff>50346</xdr:rowOff>
    </xdr:from>
    <xdr:to>
      <xdr:col>2</xdr:col>
      <xdr:colOff>1895475</xdr:colOff>
      <xdr:row>3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0031B3-5A62-441D-9C8C-0BEF42FD243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476383" y="50346"/>
          <a:ext cx="857367" cy="93072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894395</xdr:colOff>
      <xdr:row>0</xdr:row>
      <xdr:rowOff>147432</xdr:rowOff>
    </xdr:from>
    <xdr:to>
      <xdr:col>2</xdr:col>
      <xdr:colOff>1666874</xdr:colOff>
      <xdr:row>2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9D151C-E5D0-468C-9F0F-DD9529F5160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332670" y="147432"/>
          <a:ext cx="772479" cy="71934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7" tint="0.79998168889431442"/>
    <pageSetUpPr fitToPage="1"/>
  </sheetPr>
  <dimension ref="A3:D63"/>
  <sheetViews>
    <sheetView showGridLines="0" view="pageBreakPreview" topLeftCell="A52" zoomScaleNormal="100" zoomScaleSheetLayoutView="100" workbookViewId="0">
      <selection activeCell="A63" sqref="A1:D63"/>
    </sheetView>
  </sheetViews>
  <sheetFormatPr defaultRowHeight="14.4" x14ac:dyDescent="0.3"/>
  <cols>
    <col min="1" max="1" width="5.109375" style="4" customWidth="1"/>
    <col min="2" max="2" width="15.109375" style="4" customWidth="1"/>
    <col min="3" max="3" width="40.44140625" customWidth="1"/>
    <col min="4" max="4" width="38.44140625" customWidth="1"/>
  </cols>
  <sheetData>
    <row r="3" spans="1:4" s="5" customFormat="1" ht="42.75" customHeight="1" x14ac:dyDescent="0.3">
      <c r="A3" s="58"/>
      <c r="B3" s="58"/>
      <c r="C3" s="58"/>
      <c r="D3" s="58"/>
    </row>
    <row r="4" spans="1:4" s="5" customFormat="1" ht="51" customHeight="1" thickBot="1" x14ac:dyDescent="0.35">
      <c r="A4" s="59" t="s">
        <v>11</v>
      </c>
      <c r="B4" s="59"/>
      <c r="C4" s="59"/>
      <c r="D4" s="59"/>
    </row>
    <row r="5" spans="1:4" s="5" customFormat="1" ht="6.75" customHeight="1" x14ac:dyDescent="0.3">
      <c r="A5" s="60" t="s">
        <v>2</v>
      </c>
      <c r="B5" s="60"/>
      <c r="C5" s="60"/>
      <c r="D5" s="60"/>
    </row>
    <row r="6" spans="1:4" s="5" customFormat="1" ht="25.5" customHeight="1" x14ac:dyDescent="0.3">
      <c r="A6" s="61" t="s">
        <v>71</v>
      </c>
      <c r="B6" s="61"/>
      <c r="C6" s="61"/>
      <c r="D6" s="61"/>
    </row>
    <row r="7" spans="1:4" s="5" customFormat="1" ht="25.5" customHeight="1" x14ac:dyDescent="0.3">
      <c r="A7" s="61" t="s">
        <v>119</v>
      </c>
      <c r="B7" s="61"/>
      <c r="C7" s="61"/>
      <c r="D7" s="61"/>
    </row>
    <row r="8" spans="1:4" s="23" customFormat="1" ht="14.25" customHeight="1" x14ac:dyDescent="0.3">
      <c r="A8" s="6"/>
      <c r="B8" s="6"/>
      <c r="C8" s="6"/>
      <c r="D8" s="6"/>
    </row>
    <row r="9" spans="1:4" s="22" customFormat="1" ht="21" customHeight="1" x14ac:dyDescent="0.3">
      <c r="A9" s="57" t="s">
        <v>118</v>
      </c>
      <c r="B9" s="57"/>
      <c r="C9" s="57"/>
      <c r="D9" s="22" t="s">
        <v>64</v>
      </c>
    </row>
    <row r="10" spans="1:4" s="23" customFormat="1" ht="21" customHeight="1" x14ac:dyDescent="0.3">
      <c r="A10" s="54" t="s">
        <v>122</v>
      </c>
      <c r="B10" s="54"/>
      <c r="C10" s="54"/>
      <c r="D10" s="23" t="s">
        <v>124</v>
      </c>
    </row>
    <row r="11" spans="1:4" s="23" customFormat="1" ht="21" customHeight="1" x14ac:dyDescent="0.3">
      <c r="A11" s="54" t="s">
        <v>123</v>
      </c>
      <c r="B11" s="54"/>
      <c r="C11" s="54"/>
      <c r="D11" s="23" t="s">
        <v>125</v>
      </c>
    </row>
    <row r="12" spans="1:4" s="23" customFormat="1" ht="10.5" customHeight="1" x14ac:dyDescent="0.3">
      <c r="A12" s="6"/>
      <c r="B12" s="6"/>
      <c r="C12" s="6"/>
      <c r="D12" s="6"/>
    </row>
    <row r="13" spans="1:4" s="12" customFormat="1" ht="33.75" customHeight="1" x14ac:dyDescent="0.3">
      <c r="A13" s="55" t="s">
        <v>0</v>
      </c>
      <c r="B13" s="55" t="s">
        <v>1</v>
      </c>
      <c r="C13" s="62" t="s">
        <v>25</v>
      </c>
      <c r="D13" s="11" t="s">
        <v>70</v>
      </c>
    </row>
    <row r="14" spans="1:4" s="12" customFormat="1" ht="11.25" customHeight="1" x14ac:dyDescent="0.3">
      <c r="A14" s="56"/>
      <c r="B14" s="56"/>
      <c r="C14" s="63"/>
      <c r="D14" s="37" t="s">
        <v>60</v>
      </c>
    </row>
    <row r="15" spans="1:4" s="14" customFormat="1" ht="31.5" customHeight="1" x14ac:dyDescent="0.3">
      <c r="A15" s="13">
        <v>1</v>
      </c>
      <c r="B15" s="44">
        <v>2400102000</v>
      </c>
      <c r="C15" s="45" t="s">
        <v>78</v>
      </c>
      <c r="D15" s="13">
        <v>6</v>
      </c>
    </row>
    <row r="16" spans="1:4" s="14" customFormat="1" ht="31.5" customHeight="1" x14ac:dyDescent="0.3">
      <c r="A16" s="13">
        <v>2</v>
      </c>
      <c r="B16" s="44">
        <v>2400102001</v>
      </c>
      <c r="C16" s="45" t="s">
        <v>79</v>
      </c>
      <c r="D16" s="13">
        <v>10</v>
      </c>
    </row>
    <row r="17" spans="1:4" s="14" customFormat="1" ht="31.5" customHeight="1" x14ac:dyDescent="0.3">
      <c r="A17" s="13">
        <v>3</v>
      </c>
      <c r="B17" s="44">
        <v>2400102002</v>
      </c>
      <c r="C17" s="45" t="s">
        <v>80</v>
      </c>
      <c r="D17" s="13" t="s">
        <v>131</v>
      </c>
    </row>
    <row r="18" spans="1:4" s="14" customFormat="1" ht="31.5" customHeight="1" x14ac:dyDescent="0.3">
      <c r="A18" s="13">
        <v>4</v>
      </c>
      <c r="B18" s="44">
        <v>2400102003</v>
      </c>
      <c r="C18" s="45" t="s">
        <v>81</v>
      </c>
      <c r="D18" s="13">
        <v>10</v>
      </c>
    </row>
    <row r="19" spans="1:4" s="14" customFormat="1" ht="31.5" customHeight="1" x14ac:dyDescent="0.3">
      <c r="A19" s="13">
        <v>5</v>
      </c>
      <c r="B19" s="44">
        <v>2400102004</v>
      </c>
      <c r="C19" s="45" t="s">
        <v>82</v>
      </c>
      <c r="D19" s="13">
        <v>9</v>
      </c>
    </row>
    <row r="20" spans="1:4" s="14" customFormat="1" ht="31.5" customHeight="1" x14ac:dyDescent="0.3">
      <c r="A20" s="13">
        <v>6</v>
      </c>
      <c r="B20" s="44">
        <v>2400102005</v>
      </c>
      <c r="C20" s="45" t="s">
        <v>83</v>
      </c>
      <c r="D20" s="13">
        <v>10</v>
      </c>
    </row>
    <row r="21" spans="1:4" s="14" customFormat="1" ht="31.5" customHeight="1" x14ac:dyDescent="0.3">
      <c r="A21" s="13">
        <v>7</v>
      </c>
      <c r="B21" s="44">
        <v>2400102006</v>
      </c>
      <c r="C21" s="45" t="s">
        <v>84</v>
      </c>
      <c r="D21" s="13">
        <v>10</v>
      </c>
    </row>
    <row r="22" spans="1:4" s="14" customFormat="1" ht="31.5" customHeight="1" x14ac:dyDescent="0.3">
      <c r="A22" s="13">
        <v>8</v>
      </c>
      <c r="B22" s="44">
        <v>2400102007</v>
      </c>
      <c r="C22" s="45" t="s">
        <v>85</v>
      </c>
      <c r="D22" s="13">
        <v>10</v>
      </c>
    </row>
    <row r="23" spans="1:4" s="14" customFormat="1" ht="31.5" customHeight="1" x14ac:dyDescent="0.3">
      <c r="A23" s="13">
        <v>9</v>
      </c>
      <c r="B23" s="44">
        <v>2400102008</v>
      </c>
      <c r="C23" s="45" t="s">
        <v>86</v>
      </c>
      <c r="D23" s="13">
        <v>9</v>
      </c>
    </row>
    <row r="24" spans="1:4" s="14" customFormat="1" ht="31.5" customHeight="1" x14ac:dyDescent="0.3">
      <c r="A24" s="13">
        <v>10</v>
      </c>
      <c r="B24" s="44">
        <v>2400102011</v>
      </c>
      <c r="C24" s="45" t="s">
        <v>87</v>
      </c>
      <c r="D24" s="13">
        <v>7</v>
      </c>
    </row>
    <row r="25" spans="1:4" s="14" customFormat="1" ht="31.5" customHeight="1" x14ac:dyDescent="0.3">
      <c r="A25" s="13">
        <v>11</v>
      </c>
      <c r="B25" s="44">
        <v>2400102012</v>
      </c>
      <c r="C25" s="45" t="s">
        <v>88</v>
      </c>
      <c r="D25" s="13">
        <v>10</v>
      </c>
    </row>
    <row r="26" spans="1:4" s="14" customFormat="1" ht="31.5" customHeight="1" x14ac:dyDescent="0.3">
      <c r="A26" s="13">
        <v>12</v>
      </c>
      <c r="B26" s="44">
        <v>2400102013</v>
      </c>
      <c r="C26" s="45" t="s">
        <v>89</v>
      </c>
      <c r="D26" s="13">
        <v>10</v>
      </c>
    </row>
    <row r="27" spans="1:4" s="14" customFormat="1" ht="31.5" customHeight="1" x14ac:dyDescent="0.3">
      <c r="A27" s="13">
        <v>13</v>
      </c>
      <c r="B27" s="44">
        <v>2400102014</v>
      </c>
      <c r="C27" s="45" t="s">
        <v>90</v>
      </c>
      <c r="D27" s="13">
        <v>9</v>
      </c>
    </row>
    <row r="28" spans="1:4" s="14" customFormat="1" ht="31.5" customHeight="1" x14ac:dyDescent="0.3">
      <c r="A28" s="13">
        <v>14</v>
      </c>
      <c r="B28" s="44">
        <v>2400102016</v>
      </c>
      <c r="C28" s="45" t="s">
        <v>91</v>
      </c>
      <c r="D28" s="13">
        <v>9</v>
      </c>
    </row>
    <row r="29" spans="1:4" s="14" customFormat="1" ht="31.5" customHeight="1" x14ac:dyDescent="0.3">
      <c r="A29" s="13">
        <v>15</v>
      </c>
      <c r="B29" s="44">
        <v>2400102017</v>
      </c>
      <c r="C29" s="45" t="s">
        <v>92</v>
      </c>
      <c r="D29" s="13">
        <v>9</v>
      </c>
    </row>
    <row r="30" spans="1:4" s="14" customFormat="1" ht="31.5" customHeight="1" x14ac:dyDescent="0.3">
      <c r="A30" s="13">
        <v>16</v>
      </c>
      <c r="B30" s="44">
        <v>2400102019</v>
      </c>
      <c r="C30" s="45" t="s">
        <v>93</v>
      </c>
      <c r="D30" s="13">
        <v>10</v>
      </c>
    </row>
    <row r="31" spans="1:4" s="14" customFormat="1" ht="31.5" customHeight="1" x14ac:dyDescent="0.3">
      <c r="A31" s="13">
        <v>17</v>
      </c>
      <c r="B31" s="44">
        <v>2400102021</v>
      </c>
      <c r="C31" s="45" t="s">
        <v>94</v>
      </c>
      <c r="D31" s="13">
        <v>10</v>
      </c>
    </row>
    <row r="32" spans="1:4" s="14" customFormat="1" ht="31.5" customHeight="1" x14ac:dyDescent="0.3">
      <c r="A32" s="13">
        <v>18</v>
      </c>
      <c r="B32" s="44">
        <v>2400102022</v>
      </c>
      <c r="C32" s="45" t="s">
        <v>95</v>
      </c>
      <c r="D32" s="13">
        <v>10</v>
      </c>
    </row>
    <row r="33" spans="1:4" s="14" customFormat="1" ht="31.5" customHeight="1" x14ac:dyDescent="0.3">
      <c r="A33" s="13">
        <v>19</v>
      </c>
      <c r="B33" s="44">
        <v>2400102023</v>
      </c>
      <c r="C33" s="45" t="s">
        <v>96</v>
      </c>
      <c r="D33" s="13">
        <v>9</v>
      </c>
    </row>
    <row r="34" spans="1:4" s="14" customFormat="1" ht="31.5" customHeight="1" x14ac:dyDescent="0.3">
      <c r="A34" s="13">
        <v>20</v>
      </c>
      <c r="B34" s="44">
        <v>2400102024</v>
      </c>
      <c r="C34" s="45" t="s">
        <v>97</v>
      </c>
      <c r="D34" s="13">
        <v>9</v>
      </c>
    </row>
    <row r="35" spans="1:4" s="14" customFormat="1" ht="31.5" customHeight="1" x14ac:dyDescent="0.3">
      <c r="A35" s="13">
        <v>21</v>
      </c>
      <c r="B35" s="44">
        <v>2400102025</v>
      </c>
      <c r="C35" s="45" t="s">
        <v>98</v>
      </c>
      <c r="D35" s="13">
        <v>10</v>
      </c>
    </row>
    <row r="36" spans="1:4" s="14" customFormat="1" ht="31.5" customHeight="1" x14ac:dyDescent="0.3">
      <c r="A36" s="13">
        <v>22</v>
      </c>
      <c r="B36" s="44">
        <v>2400102026</v>
      </c>
      <c r="C36" s="45" t="s">
        <v>99</v>
      </c>
      <c r="D36" s="13">
        <v>8</v>
      </c>
    </row>
    <row r="37" spans="1:4" s="14" customFormat="1" ht="31.5" customHeight="1" x14ac:dyDescent="0.3">
      <c r="A37" s="13">
        <v>23</v>
      </c>
      <c r="B37" s="44">
        <v>2400102028</v>
      </c>
      <c r="C37" s="45" t="s">
        <v>100</v>
      </c>
      <c r="D37" s="13">
        <v>10</v>
      </c>
    </row>
    <row r="38" spans="1:4" s="14" customFormat="1" ht="31.5" customHeight="1" x14ac:dyDescent="0.3">
      <c r="A38" s="13">
        <v>24</v>
      </c>
      <c r="B38" s="44">
        <v>2400102029</v>
      </c>
      <c r="C38" s="45" t="s">
        <v>101</v>
      </c>
      <c r="D38" s="13">
        <v>6</v>
      </c>
    </row>
    <row r="39" spans="1:4" s="14" customFormat="1" ht="31.5" customHeight="1" x14ac:dyDescent="0.3">
      <c r="A39" s="13">
        <v>25</v>
      </c>
      <c r="B39" s="44">
        <v>2400102031</v>
      </c>
      <c r="C39" s="45" t="s">
        <v>102</v>
      </c>
      <c r="D39" s="13">
        <v>10</v>
      </c>
    </row>
    <row r="40" spans="1:4" s="14" customFormat="1" ht="31.5" customHeight="1" x14ac:dyDescent="0.3">
      <c r="A40" s="13">
        <v>26</v>
      </c>
      <c r="B40" s="44">
        <v>2400102033</v>
      </c>
      <c r="C40" s="45" t="s">
        <v>103</v>
      </c>
      <c r="D40" s="13">
        <v>10</v>
      </c>
    </row>
    <row r="41" spans="1:4" s="14" customFormat="1" ht="31.5" customHeight="1" x14ac:dyDescent="0.3">
      <c r="A41" s="13">
        <v>27</v>
      </c>
      <c r="B41" s="44">
        <v>2400102034</v>
      </c>
      <c r="C41" s="45" t="s">
        <v>104</v>
      </c>
      <c r="D41" s="13">
        <v>10</v>
      </c>
    </row>
    <row r="42" spans="1:4" s="14" customFormat="1" ht="31.5" customHeight="1" x14ac:dyDescent="0.3">
      <c r="A42" s="13">
        <v>28</v>
      </c>
      <c r="B42" s="44">
        <v>2400102038</v>
      </c>
      <c r="C42" s="45" t="s">
        <v>105</v>
      </c>
      <c r="D42" s="13">
        <v>10</v>
      </c>
    </row>
    <row r="43" spans="1:4" s="14" customFormat="1" ht="31.5" customHeight="1" x14ac:dyDescent="0.3">
      <c r="A43" s="13">
        <v>29</v>
      </c>
      <c r="B43" s="44">
        <v>2400102039</v>
      </c>
      <c r="C43" s="45" t="s">
        <v>106</v>
      </c>
      <c r="D43" s="13">
        <v>9</v>
      </c>
    </row>
    <row r="44" spans="1:4" s="14" customFormat="1" ht="31.5" customHeight="1" x14ac:dyDescent="0.3">
      <c r="A44" s="13">
        <v>30</v>
      </c>
      <c r="B44" s="44">
        <v>2400102041</v>
      </c>
      <c r="C44" s="45" t="s">
        <v>107</v>
      </c>
      <c r="D44" s="13">
        <v>10</v>
      </c>
    </row>
    <row r="45" spans="1:4" s="14" customFormat="1" ht="31.5" customHeight="1" x14ac:dyDescent="0.3">
      <c r="A45" s="13">
        <v>31</v>
      </c>
      <c r="B45" s="44">
        <v>2400102042</v>
      </c>
      <c r="C45" s="45" t="s">
        <v>108</v>
      </c>
      <c r="D45" s="13">
        <v>10</v>
      </c>
    </row>
    <row r="46" spans="1:4" s="14" customFormat="1" ht="31.5" customHeight="1" x14ac:dyDescent="0.3">
      <c r="A46" s="13">
        <v>32</v>
      </c>
      <c r="B46" s="44">
        <v>2400102044</v>
      </c>
      <c r="C46" s="45" t="s">
        <v>109</v>
      </c>
      <c r="D46" s="13">
        <v>10</v>
      </c>
    </row>
    <row r="47" spans="1:4" s="14" customFormat="1" ht="31.5" customHeight="1" x14ac:dyDescent="0.3">
      <c r="A47" s="13">
        <v>33</v>
      </c>
      <c r="B47" s="44">
        <v>2400102046</v>
      </c>
      <c r="C47" s="45" t="s">
        <v>110</v>
      </c>
      <c r="D47" s="13">
        <v>10</v>
      </c>
    </row>
    <row r="48" spans="1:4" s="14" customFormat="1" ht="31.5" customHeight="1" x14ac:dyDescent="0.3">
      <c r="A48" s="13">
        <v>34</v>
      </c>
      <c r="B48" s="44">
        <v>2400102048</v>
      </c>
      <c r="C48" s="45" t="s">
        <v>111</v>
      </c>
      <c r="D48" s="13">
        <v>9</v>
      </c>
    </row>
    <row r="49" spans="1:4" s="14" customFormat="1" ht="31.5" customHeight="1" x14ac:dyDescent="0.3">
      <c r="A49" s="13">
        <v>35</v>
      </c>
      <c r="B49" s="44">
        <v>2400102051</v>
      </c>
      <c r="C49" s="45" t="s">
        <v>112</v>
      </c>
      <c r="D49" s="13">
        <v>10</v>
      </c>
    </row>
    <row r="50" spans="1:4" s="14" customFormat="1" ht="31.5" customHeight="1" x14ac:dyDescent="0.3">
      <c r="A50" s="13">
        <v>36</v>
      </c>
      <c r="B50" s="44">
        <v>2400102054</v>
      </c>
      <c r="C50" s="45" t="s">
        <v>113</v>
      </c>
      <c r="D50" s="13">
        <v>10</v>
      </c>
    </row>
    <row r="51" spans="1:4" s="14" customFormat="1" ht="31.5" customHeight="1" x14ac:dyDescent="0.3">
      <c r="A51" s="13">
        <v>37</v>
      </c>
      <c r="B51" s="44">
        <v>2400102057</v>
      </c>
      <c r="C51" s="45" t="s">
        <v>114</v>
      </c>
      <c r="D51" s="13">
        <v>10</v>
      </c>
    </row>
    <row r="52" spans="1:4" s="14" customFormat="1" ht="31.5" customHeight="1" x14ac:dyDescent="0.3">
      <c r="A52" s="13">
        <v>38</v>
      </c>
      <c r="B52" s="44">
        <v>2400102058</v>
      </c>
      <c r="C52" s="45" t="s">
        <v>115</v>
      </c>
      <c r="D52" s="13">
        <v>10</v>
      </c>
    </row>
    <row r="53" spans="1:4" s="14" customFormat="1" ht="31.5" customHeight="1" x14ac:dyDescent="0.3">
      <c r="A53" s="13">
        <v>39</v>
      </c>
      <c r="B53" s="44">
        <v>2400102059</v>
      </c>
      <c r="C53" s="45" t="s">
        <v>116</v>
      </c>
      <c r="D53" s="13">
        <v>9</v>
      </c>
    </row>
    <row r="54" spans="1:4" s="14" customFormat="1" ht="31.5" customHeight="1" x14ac:dyDescent="0.3">
      <c r="A54" s="13">
        <v>40</v>
      </c>
      <c r="B54" s="44">
        <v>2400102060</v>
      </c>
      <c r="C54" s="45" t="s">
        <v>117</v>
      </c>
      <c r="D54" s="13">
        <v>10</v>
      </c>
    </row>
    <row r="55" spans="1:4" s="14" customFormat="1" ht="15.6" x14ac:dyDescent="0.3">
      <c r="A55" s="16"/>
      <c r="B55" s="16"/>
    </row>
    <row r="56" spans="1:4" s="14" customFormat="1" ht="15.6" x14ac:dyDescent="0.3"/>
    <row r="57" spans="1:4" s="14" customFormat="1" ht="15.6" x14ac:dyDescent="0.3">
      <c r="A57" s="50" t="s">
        <v>26</v>
      </c>
      <c r="B57" s="50"/>
      <c r="C57" s="50"/>
      <c r="D57" s="50"/>
    </row>
    <row r="58" spans="1:4" s="14" customFormat="1" ht="15.6" x14ac:dyDescent="0.3">
      <c r="A58" s="51" t="s">
        <v>22</v>
      </c>
      <c r="B58" s="51"/>
      <c r="C58" s="51"/>
    </row>
    <row r="59" spans="1:4" s="14" customFormat="1" ht="7.5" customHeight="1" x14ac:dyDescent="0.3">
      <c r="A59" s="16"/>
      <c r="B59" s="16"/>
    </row>
    <row r="60" spans="1:4" s="14" customFormat="1" ht="15.6" x14ac:dyDescent="0.3">
      <c r="A60" s="52" t="s">
        <v>3</v>
      </c>
      <c r="B60" s="52"/>
    </row>
    <row r="61" spans="1:4" s="14" customFormat="1" ht="15.6" x14ac:dyDescent="0.3">
      <c r="A61" s="16"/>
      <c r="B61" s="16"/>
    </row>
    <row r="62" spans="1:4" s="14" customFormat="1" ht="15.6" x14ac:dyDescent="0.3">
      <c r="A62" s="16"/>
      <c r="B62" s="16"/>
    </row>
    <row r="63" spans="1:4" s="14" customFormat="1" ht="33.75" customHeight="1" x14ac:dyDescent="0.3">
      <c r="A63" s="53" t="s">
        <v>23</v>
      </c>
      <c r="B63" s="53"/>
      <c r="C63" s="53"/>
      <c r="D63" s="53"/>
    </row>
  </sheetData>
  <mergeCells count="15">
    <mergeCell ref="A3:D3"/>
    <mergeCell ref="A4:D4"/>
    <mergeCell ref="A5:D5"/>
    <mergeCell ref="A6:D6"/>
    <mergeCell ref="A7:D7"/>
    <mergeCell ref="A10:C10"/>
    <mergeCell ref="A11:C11"/>
    <mergeCell ref="A9:C9"/>
    <mergeCell ref="A60:B60"/>
    <mergeCell ref="A63:D63"/>
    <mergeCell ref="C13:C14"/>
    <mergeCell ref="A13:A14"/>
    <mergeCell ref="B13:B14"/>
    <mergeCell ref="A57:D57"/>
    <mergeCell ref="A58:C58"/>
  </mergeCells>
  <conditionalFormatting sqref="C15:C54">
    <cfRule type="duplicateValues" dxfId="7" priority="3" stopIfTrue="1"/>
  </conditionalFormatting>
  <pageMargins left="0.31496062992125984" right="0.23622047244094491" top="0.47244094488188981" bottom="0.39370078740157483" header="0.31496062992125984" footer="0.19685039370078741"/>
  <pageSetup paperSize="9" scale="85" fitToHeight="2" orientation="portrait" r:id="rId1"/>
  <headerFoot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B050"/>
    <pageSetUpPr fitToPage="1"/>
  </sheetPr>
  <dimension ref="A3:G63"/>
  <sheetViews>
    <sheetView showGridLines="0" view="pageBreakPreview" zoomScale="85" zoomScaleNormal="100" zoomScaleSheetLayoutView="85" workbookViewId="0">
      <selection sqref="A1:G63"/>
    </sheetView>
  </sheetViews>
  <sheetFormatPr defaultRowHeight="14.4" x14ac:dyDescent="0.3"/>
  <cols>
    <col min="1" max="1" width="5.109375" style="4" customWidth="1"/>
    <col min="2" max="2" width="15.109375" style="4" customWidth="1"/>
    <col min="3" max="3" width="34.33203125" customWidth="1"/>
    <col min="4" max="4" width="11" style="1" customWidth="1"/>
    <col min="5" max="6" width="11" style="2" customWidth="1"/>
    <col min="7" max="7" width="18.88671875" customWidth="1"/>
  </cols>
  <sheetData>
    <row r="3" spans="1:7" s="5" customFormat="1" ht="42.75" customHeight="1" x14ac:dyDescent="0.3">
      <c r="A3" s="58"/>
      <c r="B3" s="58"/>
      <c r="C3" s="58"/>
      <c r="D3" s="58"/>
      <c r="E3" s="58"/>
      <c r="F3" s="58"/>
      <c r="G3" s="58"/>
    </row>
    <row r="4" spans="1:7" s="5" customFormat="1" ht="54.75" customHeight="1" thickBot="1" x14ac:dyDescent="0.35">
      <c r="A4" s="59" t="s">
        <v>12</v>
      </c>
      <c r="B4" s="59"/>
      <c r="C4" s="59"/>
      <c r="D4" s="59"/>
      <c r="E4" s="59"/>
      <c r="F4" s="59"/>
      <c r="G4" s="59"/>
    </row>
    <row r="5" spans="1:7" s="5" customFormat="1" ht="6.75" customHeight="1" x14ac:dyDescent="0.3">
      <c r="A5" s="60" t="s">
        <v>2</v>
      </c>
      <c r="B5" s="60"/>
      <c r="C5" s="60"/>
      <c r="D5" s="60"/>
      <c r="E5" s="60"/>
      <c r="F5" s="60"/>
      <c r="G5" s="60"/>
    </row>
    <row r="6" spans="1:7" s="5" customFormat="1" ht="25.5" customHeight="1" x14ac:dyDescent="0.3">
      <c r="A6" s="61" t="s">
        <v>72</v>
      </c>
      <c r="B6" s="61"/>
      <c r="C6" s="61"/>
      <c r="D6" s="61"/>
      <c r="E6" s="61"/>
      <c r="F6" s="61"/>
      <c r="G6" s="61"/>
    </row>
    <row r="7" spans="1:7" s="5" customFormat="1" ht="25.5" customHeight="1" x14ac:dyDescent="0.3">
      <c r="A7" s="61" t="s">
        <v>120</v>
      </c>
      <c r="B7" s="61"/>
      <c r="C7" s="61"/>
      <c r="D7" s="61"/>
      <c r="E7" s="61"/>
      <c r="F7" s="61"/>
      <c r="G7" s="61"/>
    </row>
    <row r="8" spans="1:7" s="23" customFormat="1" ht="14.25" customHeight="1" x14ac:dyDescent="0.3">
      <c r="A8" s="6"/>
      <c r="B8" s="6"/>
      <c r="C8" s="6"/>
      <c r="D8" s="6"/>
      <c r="E8" s="6"/>
      <c r="F8" s="6"/>
      <c r="G8" s="6"/>
    </row>
    <row r="9" spans="1:7" s="22" customFormat="1" ht="23.25" customHeight="1" x14ac:dyDescent="0.3">
      <c r="A9" s="57" t="s">
        <v>118</v>
      </c>
      <c r="B9" s="57"/>
      <c r="C9" s="57"/>
      <c r="D9" s="57"/>
      <c r="F9" s="57" t="s">
        <v>64</v>
      </c>
      <c r="G9" s="57"/>
    </row>
    <row r="10" spans="1:7" s="23" customFormat="1" ht="23.25" customHeight="1" x14ac:dyDescent="0.3">
      <c r="A10" s="54" t="s">
        <v>126</v>
      </c>
      <c r="B10" s="54"/>
      <c r="C10" s="54"/>
      <c r="D10" s="54"/>
      <c r="F10" s="54" t="s">
        <v>124</v>
      </c>
      <c r="G10" s="54"/>
    </row>
    <row r="11" spans="1:7" s="23" customFormat="1" ht="23.25" customHeight="1" x14ac:dyDescent="0.3">
      <c r="A11" s="54" t="s">
        <v>123</v>
      </c>
      <c r="B11" s="54"/>
      <c r="C11" s="54"/>
      <c r="D11" s="54"/>
      <c r="F11" s="54" t="s">
        <v>127</v>
      </c>
      <c r="G11" s="54"/>
    </row>
    <row r="12" spans="1:7" s="23" customFormat="1" ht="10.5" customHeight="1" x14ac:dyDescent="0.3">
      <c r="A12" s="6"/>
      <c r="B12" s="6"/>
      <c r="C12" s="6"/>
      <c r="D12" s="6"/>
      <c r="E12" s="6"/>
      <c r="F12" s="6"/>
      <c r="G12" s="6"/>
    </row>
    <row r="13" spans="1:7" s="12" customFormat="1" ht="34.5" customHeight="1" x14ac:dyDescent="0.3">
      <c r="A13" s="55" t="s">
        <v>0</v>
      </c>
      <c r="B13" s="55" t="s">
        <v>1</v>
      </c>
      <c r="C13" s="55" t="s">
        <v>25</v>
      </c>
      <c r="D13" s="11" t="s">
        <v>7</v>
      </c>
      <c r="E13" s="11" t="s">
        <v>8</v>
      </c>
      <c r="F13" s="11"/>
      <c r="G13" s="11" t="s">
        <v>73</v>
      </c>
    </row>
    <row r="14" spans="1:7" s="12" customFormat="1" ht="27" customHeight="1" x14ac:dyDescent="0.3">
      <c r="A14" s="56"/>
      <c r="B14" s="56"/>
      <c r="C14" s="56"/>
      <c r="D14" s="37" t="s">
        <v>9</v>
      </c>
      <c r="E14" s="37" t="s">
        <v>9</v>
      </c>
      <c r="F14" s="37"/>
      <c r="G14" s="37" t="s">
        <v>61</v>
      </c>
    </row>
    <row r="15" spans="1:7" s="14" customFormat="1" ht="27" customHeight="1" x14ac:dyDescent="0.3">
      <c r="A15" s="13">
        <v>1</v>
      </c>
      <c r="B15" s="44">
        <v>2400102000</v>
      </c>
      <c r="C15" s="45" t="s">
        <v>78</v>
      </c>
      <c r="D15" s="13">
        <v>7</v>
      </c>
      <c r="E15" s="13">
        <v>8</v>
      </c>
      <c r="F15" s="13"/>
      <c r="G15" s="15">
        <f>SUM(D15:F15)*15/(COUNTIF(D15:F15,"&lt;&gt;")*10)</f>
        <v>11.25</v>
      </c>
    </row>
    <row r="16" spans="1:7" s="14" customFormat="1" ht="27" customHeight="1" x14ac:dyDescent="0.3">
      <c r="A16" s="13">
        <v>2</v>
      </c>
      <c r="B16" s="44">
        <v>2400102001</v>
      </c>
      <c r="C16" s="45" t="s">
        <v>79</v>
      </c>
      <c r="D16" s="15">
        <v>10</v>
      </c>
      <c r="E16" s="42">
        <v>10</v>
      </c>
      <c r="F16" s="42"/>
      <c r="G16" s="15">
        <f t="shared" ref="G16:G54" si="0">SUM(D16:F16)*15/(COUNTIF(D16:F16,"&lt;&gt;")*10)</f>
        <v>15</v>
      </c>
    </row>
    <row r="17" spans="1:7" s="14" customFormat="1" ht="27" customHeight="1" x14ac:dyDescent="0.3">
      <c r="A17" s="13">
        <v>3</v>
      </c>
      <c r="B17" s="44">
        <v>2400102002</v>
      </c>
      <c r="C17" s="45" t="s">
        <v>80</v>
      </c>
      <c r="D17" s="15">
        <v>7</v>
      </c>
      <c r="E17" s="42">
        <v>7</v>
      </c>
      <c r="F17" s="42"/>
      <c r="G17" s="15">
        <f t="shared" si="0"/>
        <v>10.5</v>
      </c>
    </row>
    <row r="18" spans="1:7" s="14" customFormat="1" ht="27" customHeight="1" x14ac:dyDescent="0.3">
      <c r="A18" s="13">
        <v>4</v>
      </c>
      <c r="B18" s="44">
        <v>2400102003</v>
      </c>
      <c r="C18" s="45" t="s">
        <v>81</v>
      </c>
      <c r="D18" s="15">
        <v>10</v>
      </c>
      <c r="E18" s="42">
        <v>10</v>
      </c>
      <c r="F18" s="42"/>
      <c r="G18" s="15">
        <f t="shared" si="0"/>
        <v>15</v>
      </c>
    </row>
    <row r="19" spans="1:7" s="14" customFormat="1" ht="27" customHeight="1" x14ac:dyDescent="0.3">
      <c r="A19" s="13">
        <v>5</v>
      </c>
      <c r="B19" s="44">
        <v>2400102004</v>
      </c>
      <c r="C19" s="45" t="s">
        <v>82</v>
      </c>
      <c r="D19" s="15">
        <v>10</v>
      </c>
      <c r="E19" s="42">
        <v>10</v>
      </c>
      <c r="F19" s="42"/>
      <c r="G19" s="15">
        <f t="shared" si="0"/>
        <v>15</v>
      </c>
    </row>
    <row r="20" spans="1:7" s="14" customFormat="1" ht="27" customHeight="1" x14ac:dyDescent="0.3">
      <c r="A20" s="13">
        <v>6</v>
      </c>
      <c r="B20" s="44">
        <v>2400102005</v>
      </c>
      <c r="C20" s="45" t="s">
        <v>83</v>
      </c>
      <c r="D20" s="15">
        <v>10</v>
      </c>
      <c r="E20" s="42">
        <v>10</v>
      </c>
      <c r="F20" s="42"/>
      <c r="G20" s="15">
        <f t="shared" si="0"/>
        <v>15</v>
      </c>
    </row>
    <row r="21" spans="1:7" s="14" customFormat="1" ht="27" customHeight="1" x14ac:dyDescent="0.3">
      <c r="A21" s="13">
        <v>7</v>
      </c>
      <c r="B21" s="44">
        <v>2400102006</v>
      </c>
      <c r="C21" s="45" t="s">
        <v>84</v>
      </c>
      <c r="D21" s="15">
        <v>10</v>
      </c>
      <c r="E21" s="42">
        <v>10</v>
      </c>
      <c r="F21" s="42"/>
      <c r="G21" s="15">
        <f t="shared" si="0"/>
        <v>15</v>
      </c>
    </row>
    <row r="22" spans="1:7" s="14" customFormat="1" ht="27" customHeight="1" x14ac:dyDescent="0.3">
      <c r="A22" s="13">
        <v>8</v>
      </c>
      <c r="B22" s="44">
        <v>2400102007</v>
      </c>
      <c r="C22" s="45" t="s">
        <v>85</v>
      </c>
      <c r="D22" s="15">
        <v>8</v>
      </c>
      <c r="E22" s="42">
        <v>8</v>
      </c>
      <c r="F22" s="42"/>
      <c r="G22" s="15">
        <f t="shared" si="0"/>
        <v>12</v>
      </c>
    </row>
    <row r="23" spans="1:7" s="14" customFormat="1" ht="27" customHeight="1" x14ac:dyDescent="0.3">
      <c r="A23" s="13">
        <v>9</v>
      </c>
      <c r="B23" s="44">
        <v>2400102008</v>
      </c>
      <c r="C23" s="45" t="s">
        <v>86</v>
      </c>
      <c r="D23" s="15">
        <v>10</v>
      </c>
      <c r="E23" s="42">
        <v>10</v>
      </c>
      <c r="F23" s="42"/>
      <c r="G23" s="15">
        <f t="shared" si="0"/>
        <v>15</v>
      </c>
    </row>
    <row r="24" spans="1:7" s="14" customFormat="1" ht="27" customHeight="1" x14ac:dyDescent="0.3">
      <c r="A24" s="13">
        <v>10</v>
      </c>
      <c r="B24" s="44">
        <v>2400102011</v>
      </c>
      <c r="C24" s="45" t="s">
        <v>87</v>
      </c>
      <c r="D24" s="15">
        <v>8</v>
      </c>
      <c r="E24" s="42">
        <v>8</v>
      </c>
      <c r="F24" s="42"/>
      <c r="G24" s="15">
        <f t="shared" si="0"/>
        <v>12</v>
      </c>
    </row>
    <row r="25" spans="1:7" s="14" customFormat="1" ht="27" customHeight="1" x14ac:dyDescent="0.3">
      <c r="A25" s="13">
        <v>11</v>
      </c>
      <c r="B25" s="44">
        <v>2400102012</v>
      </c>
      <c r="C25" s="45" t="s">
        <v>88</v>
      </c>
      <c r="D25" s="15">
        <v>9</v>
      </c>
      <c r="E25" s="42">
        <v>9</v>
      </c>
      <c r="F25" s="42"/>
      <c r="G25" s="15">
        <f t="shared" si="0"/>
        <v>13.5</v>
      </c>
    </row>
    <row r="26" spans="1:7" s="14" customFormat="1" ht="27" customHeight="1" x14ac:dyDescent="0.3">
      <c r="A26" s="13">
        <v>12</v>
      </c>
      <c r="B26" s="44">
        <v>2400102013</v>
      </c>
      <c r="C26" s="45" t="s">
        <v>89</v>
      </c>
      <c r="D26" s="15">
        <v>10</v>
      </c>
      <c r="E26" s="42">
        <v>10</v>
      </c>
      <c r="F26" s="42"/>
      <c r="G26" s="15">
        <f t="shared" si="0"/>
        <v>15</v>
      </c>
    </row>
    <row r="27" spans="1:7" s="14" customFormat="1" ht="27" customHeight="1" x14ac:dyDescent="0.3">
      <c r="A27" s="13">
        <v>13</v>
      </c>
      <c r="B27" s="44">
        <v>2400102014</v>
      </c>
      <c r="C27" s="45" t="s">
        <v>90</v>
      </c>
      <c r="D27" s="15">
        <v>9</v>
      </c>
      <c r="E27" s="42">
        <v>9</v>
      </c>
      <c r="F27" s="42"/>
      <c r="G27" s="15">
        <f t="shared" si="0"/>
        <v>13.5</v>
      </c>
    </row>
    <row r="28" spans="1:7" s="14" customFormat="1" ht="27" customHeight="1" x14ac:dyDescent="0.3">
      <c r="A28" s="13">
        <v>14</v>
      </c>
      <c r="B28" s="44">
        <v>2400102016</v>
      </c>
      <c r="C28" s="45" t="s">
        <v>91</v>
      </c>
      <c r="D28" s="15">
        <v>10</v>
      </c>
      <c r="E28" s="42">
        <v>10</v>
      </c>
      <c r="F28" s="42"/>
      <c r="G28" s="15">
        <f t="shared" si="0"/>
        <v>15</v>
      </c>
    </row>
    <row r="29" spans="1:7" s="14" customFormat="1" ht="27" customHeight="1" x14ac:dyDescent="0.3">
      <c r="A29" s="13">
        <v>15</v>
      </c>
      <c r="B29" s="44">
        <v>2400102017</v>
      </c>
      <c r="C29" s="45" t="s">
        <v>92</v>
      </c>
      <c r="D29" s="15">
        <v>10</v>
      </c>
      <c r="E29" s="42">
        <v>10</v>
      </c>
      <c r="F29" s="42"/>
      <c r="G29" s="15">
        <f t="shared" si="0"/>
        <v>15</v>
      </c>
    </row>
    <row r="30" spans="1:7" s="14" customFormat="1" ht="27" customHeight="1" x14ac:dyDescent="0.3">
      <c r="A30" s="13">
        <v>16</v>
      </c>
      <c r="B30" s="44">
        <v>2400102019</v>
      </c>
      <c r="C30" s="45" t="s">
        <v>93</v>
      </c>
      <c r="D30" s="15">
        <v>10</v>
      </c>
      <c r="E30" s="42">
        <v>10</v>
      </c>
      <c r="F30" s="42"/>
      <c r="G30" s="15">
        <f t="shared" si="0"/>
        <v>15</v>
      </c>
    </row>
    <row r="31" spans="1:7" s="14" customFormat="1" ht="27" customHeight="1" x14ac:dyDescent="0.3">
      <c r="A31" s="13">
        <v>17</v>
      </c>
      <c r="B31" s="44">
        <v>2400102021</v>
      </c>
      <c r="C31" s="45" t="s">
        <v>94</v>
      </c>
      <c r="D31" s="15">
        <v>8</v>
      </c>
      <c r="E31" s="42">
        <v>8</v>
      </c>
      <c r="F31" s="42"/>
      <c r="G31" s="15">
        <f t="shared" si="0"/>
        <v>12</v>
      </c>
    </row>
    <row r="32" spans="1:7" s="14" customFormat="1" ht="27" customHeight="1" x14ac:dyDescent="0.3">
      <c r="A32" s="13">
        <v>18</v>
      </c>
      <c r="B32" s="44">
        <v>2400102022</v>
      </c>
      <c r="C32" s="45" t="s">
        <v>95</v>
      </c>
      <c r="D32" s="15">
        <v>9</v>
      </c>
      <c r="E32" s="42">
        <v>10</v>
      </c>
      <c r="F32" s="42"/>
      <c r="G32" s="15">
        <f t="shared" si="0"/>
        <v>14.25</v>
      </c>
    </row>
    <row r="33" spans="1:7" s="14" customFormat="1" ht="27" customHeight="1" x14ac:dyDescent="0.3">
      <c r="A33" s="13">
        <v>19</v>
      </c>
      <c r="B33" s="44">
        <v>2400102023</v>
      </c>
      <c r="C33" s="45" t="s">
        <v>96</v>
      </c>
      <c r="D33" s="15">
        <v>8</v>
      </c>
      <c r="E33" s="42">
        <v>8</v>
      </c>
      <c r="F33" s="42"/>
      <c r="G33" s="15">
        <f t="shared" si="0"/>
        <v>12</v>
      </c>
    </row>
    <row r="34" spans="1:7" s="14" customFormat="1" ht="27" customHeight="1" x14ac:dyDescent="0.3">
      <c r="A34" s="13">
        <v>20</v>
      </c>
      <c r="B34" s="44">
        <v>2400102024</v>
      </c>
      <c r="C34" s="45" t="s">
        <v>97</v>
      </c>
      <c r="D34" s="15">
        <v>10</v>
      </c>
      <c r="E34" s="42">
        <v>10</v>
      </c>
      <c r="F34" s="42"/>
      <c r="G34" s="15">
        <f t="shared" si="0"/>
        <v>15</v>
      </c>
    </row>
    <row r="35" spans="1:7" s="14" customFormat="1" ht="27" customHeight="1" x14ac:dyDescent="0.3">
      <c r="A35" s="13">
        <v>21</v>
      </c>
      <c r="B35" s="44">
        <v>2400102025</v>
      </c>
      <c r="C35" s="45" t="s">
        <v>98</v>
      </c>
      <c r="D35" s="15">
        <v>9</v>
      </c>
      <c r="E35" s="42">
        <v>9</v>
      </c>
      <c r="F35" s="42"/>
      <c r="G35" s="15">
        <f t="shared" si="0"/>
        <v>13.5</v>
      </c>
    </row>
    <row r="36" spans="1:7" s="14" customFormat="1" ht="27" customHeight="1" x14ac:dyDescent="0.3">
      <c r="A36" s="13">
        <v>22</v>
      </c>
      <c r="B36" s="44">
        <v>2400102026</v>
      </c>
      <c r="C36" s="45" t="s">
        <v>99</v>
      </c>
      <c r="D36" s="15">
        <v>10</v>
      </c>
      <c r="E36" s="42">
        <v>10</v>
      </c>
      <c r="F36" s="42"/>
      <c r="G36" s="15">
        <f t="shared" si="0"/>
        <v>15</v>
      </c>
    </row>
    <row r="37" spans="1:7" s="14" customFormat="1" ht="27" customHeight="1" x14ac:dyDescent="0.3">
      <c r="A37" s="13">
        <v>23</v>
      </c>
      <c r="B37" s="44">
        <v>2400102028</v>
      </c>
      <c r="C37" s="45" t="s">
        <v>100</v>
      </c>
      <c r="D37" s="15">
        <v>8</v>
      </c>
      <c r="E37" s="42">
        <v>9</v>
      </c>
      <c r="F37" s="42"/>
      <c r="G37" s="15">
        <f t="shared" si="0"/>
        <v>12.75</v>
      </c>
    </row>
    <row r="38" spans="1:7" s="14" customFormat="1" ht="27" customHeight="1" x14ac:dyDescent="0.3">
      <c r="A38" s="13">
        <v>24</v>
      </c>
      <c r="B38" s="44">
        <v>2400102029</v>
      </c>
      <c r="C38" s="45" t="s">
        <v>101</v>
      </c>
      <c r="D38" s="15">
        <v>10</v>
      </c>
      <c r="E38" s="42">
        <v>10</v>
      </c>
      <c r="F38" s="42"/>
      <c r="G38" s="15">
        <f t="shared" si="0"/>
        <v>15</v>
      </c>
    </row>
    <row r="39" spans="1:7" s="14" customFormat="1" ht="27" customHeight="1" x14ac:dyDescent="0.3">
      <c r="A39" s="13">
        <v>25</v>
      </c>
      <c r="B39" s="44">
        <v>2400102031</v>
      </c>
      <c r="C39" s="45" t="s">
        <v>102</v>
      </c>
      <c r="D39" s="15">
        <v>10</v>
      </c>
      <c r="E39" s="42">
        <v>10</v>
      </c>
      <c r="F39" s="42"/>
      <c r="G39" s="15">
        <f t="shared" si="0"/>
        <v>15</v>
      </c>
    </row>
    <row r="40" spans="1:7" s="14" customFormat="1" ht="27" customHeight="1" x14ac:dyDescent="0.3">
      <c r="A40" s="13">
        <v>26</v>
      </c>
      <c r="B40" s="44">
        <v>2400102033</v>
      </c>
      <c r="C40" s="45" t="s">
        <v>103</v>
      </c>
      <c r="D40" s="15">
        <v>8</v>
      </c>
      <c r="E40" s="42">
        <v>8</v>
      </c>
      <c r="F40" s="42"/>
      <c r="G40" s="15">
        <f t="shared" si="0"/>
        <v>12</v>
      </c>
    </row>
    <row r="41" spans="1:7" s="14" customFormat="1" ht="27" customHeight="1" x14ac:dyDescent="0.3">
      <c r="A41" s="13">
        <v>27</v>
      </c>
      <c r="B41" s="44">
        <v>2400102034</v>
      </c>
      <c r="C41" s="45" t="s">
        <v>104</v>
      </c>
      <c r="D41" s="15">
        <v>8</v>
      </c>
      <c r="E41" s="42">
        <v>8</v>
      </c>
      <c r="F41" s="42"/>
      <c r="G41" s="15">
        <f t="shared" si="0"/>
        <v>12</v>
      </c>
    </row>
    <row r="42" spans="1:7" s="14" customFormat="1" ht="27" customHeight="1" x14ac:dyDescent="0.3">
      <c r="A42" s="13">
        <v>28</v>
      </c>
      <c r="B42" s="44">
        <v>2400102038</v>
      </c>
      <c r="C42" s="45" t="s">
        <v>105</v>
      </c>
      <c r="D42" s="15">
        <v>8</v>
      </c>
      <c r="E42" s="42">
        <v>9</v>
      </c>
      <c r="F42" s="42"/>
      <c r="G42" s="15">
        <f t="shared" si="0"/>
        <v>12.75</v>
      </c>
    </row>
    <row r="43" spans="1:7" s="14" customFormat="1" ht="27" customHeight="1" x14ac:dyDescent="0.3">
      <c r="A43" s="13">
        <v>29</v>
      </c>
      <c r="B43" s="44">
        <v>2400102039</v>
      </c>
      <c r="C43" s="45" t="s">
        <v>106</v>
      </c>
      <c r="D43" s="15">
        <v>10</v>
      </c>
      <c r="E43" s="42">
        <v>10</v>
      </c>
      <c r="F43" s="42"/>
      <c r="G43" s="15">
        <f t="shared" si="0"/>
        <v>15</v>
      </c>
    </row>
    <row r="44" spans="1:7" s="14" customFormat="1" ht="27" customHeight="1" x14ac:dyDescent="0.3">
      <c r="A44" s="13">
        <v>30</v>
      </c>
      <c r="B44" s="44">
        <v>2400102041</v>
      </c>
      <c r="C44" s="45" t="s">
        <v>107</v>
      </c>
      <c r="D44" s="15">
        <v>10</v>
      </c>
      <c r="E44" s="42">
        <v>10</v>
      </c>
      <c r="F44" s="42"/>
      <c r="G44" s="15">
        <f t="shared" si="0"/>
        <v>15</v>
      </c>
    </row>
    <row r="45" spans="1:7" s="14" customFormat="1" ht="27" customHeight="1" x14ac:dyDescent="0.3">
      <c r="A45" s="13">
        <v>31</v>
      </c>
      <c r="B45" s="44">
        <v>2400102042</v>
      </c>
      <c r="C45" s="45" t="s">
        <v>108</v>
      </c>
      <c r="D45" s="15">
        <v>10</v>
      </c>
      <c r="E45" s="42">
        <v>10</v>
      </c>
      <c r="F45" s="42"/>
      <c r="G45" s="15">
        <f t="shared" si="0"/>
        <v>15</v>
      </c>
    </row>
    <row r="46" spans="1:7" s="14" customFormat="1" ht="27" customHeight="1" x14ac:dyDescent="0.3">
      <c r="A46" s="13">
        <v>32</v>
      </c>
      <c r="B46" s="44">
        <v>2400102044</v>
      </c>
      <c r="C46" s="45" t="s">
        <v>109</v>
      </c>
      <c r="D46" s="15">
        <v>10</v>
      </c>
      <c r="E46" s="42">
        <v>10</v>
      </c>
      <c r="F46" s="42"/>
      <c r="G46" s="15">
        <f t="shared" si="0"/>
        <v>15</v>
      </c>
    </row>
    <row r="47" spans="1:7" s="14" customFormat="1" ht="27" customHeight="1" x14ac:dyDescent="0.3">
      <c r="A47" s="13">
        <v>33</v>
      </c>
      <c r="B47" s="44">
        <v>2400102046</v>
      </c>
      <c r="C47" s="45" t="s">
        <v>110</v>
      </c>
      <c r="D47" s="15">
        <v>10</v>
      </c>
      <c r="E47" s="42">
        <v>10</v>
      </c>
      <c r="F47" s="42"/>
      <c r="G47" s="15">
        <f t="shared" si="0"/>
        <v>15</v>
      </c>
    </row>
    <row r="48" spans="1:7" s="14" customFormat="1" ht="27" customHeight="1" x14ac:dyDescent="0.3">
      <c r="A48" s="13">
        <v>34</v>
      </c>
      <c r="B48" s="44">
        <v>2400102048</v>
      </c>
      <c r="C48" s="45" t="s">
        <v>111</v>
      </c>
      <c r="D48" s="15">
        <v>10</v>
      </c>
      <c r="E48" s="42">
        <v>9</v>
      </c>
      <c r="F48" s="42"/>
      <c r="G48" s="15">
        <f t="shared" si="0"/>
        <v>14.25</v>
      </c>
    </row>
    <row r="49" spans="1:7" s="14" customFormat="1" ht="27" customHeight="1" x14ac:dyDescent="0.3">
      <c r="A49" s="13">
        <v>35</v>
      </c>
      <c r="B49" s="44">
        <v>2400102051</v>
      </c>
      <c r="C49" s="45" t="s">
        <v>112</v>
      </c>
      <c r="D49" s="15">
        <v>10</v>
      </c>
      <c r="E49" s="42">
        <v>8</v>
      </c>
      <c r="F49" s="42"/>
      <c r="G49" s="15">
        <f t="shared" si="0"/>
        <v>13.5</v>
      </c>
    </row>
    <row r="50" spans="1:7" s="14" customFormat="1" ht="27" customHeight="1" x14ac:dyDescent="0.3">
      <c r="A50" s="13">
        <v>36</v>
      </c>
      <c r="B50" s="44">
        <v>2400102054</v>
      </c>
      <c r="C50" s="45" t="s">
        <v>113</v>
      </c>
      <c r="D50" s="15">
        <v>9</v>
      </c>
      <c r="E50" s="42">
        <v>9</v>
      </c>
      <c r="F50" s="42"/>
      <c r="G50" s="15">
        <f t="shared" si="0"/>
        <v>13.5</v>
      </c>
    </row>
    <row r="51" spans="1:7" s="14" customFormat="1" ht="27" customHeight="1" x14ac:dyDescent="0.3">
      <c r="A51" s="13">
        <v>37</v>
      </c>
      <c r="B51" s="44">
        <v>2400102057</v>
      </c>
      <c r="C51" s="45" t="s">
        <v>114</v>
      </c>
      <c r="D51" s="15">
        <v>8</v>
      </c>
      <c r="E51" s="42">
        <v>8</v>
      </c>
      <c r="F51" s="42"/>
      <c r="G51" s="15">
        <f t="shared" si="0"/>
        <v>12</v>
      </c>
    </row>
    <row r="52" spans="1:7" s="14" customFormat="1" ht="27" customHeight="1" x14ac:dyDescent="0.3">
      <c r="A52" s="13">
        <v>38</v>
      </c>
      <c r="B52" s="44">
        <v>2400102058</v>
      </c>
      <c r="C52" s="45" t="s">
        <v>115</v>
      </c>
      <c r="D52" s="15">
        <v>9</v>
      </c>
      <c r="E52" s="42">
        <v>9</v>
      </c>
      <c r="F52" s="42"/>
      <c r="G52" s="15">
        <f t="shared" si="0"/>
        <v>13.5</v>
      </c>
    </row>
    <row r="53" spans="1:7" s="14" customFormat="1" ht="27" customHeight="1" x14ac:dyDescent="0.3">
      <c r="A53" s="13">
        <v>39</v>
      </c>
      <c r="B53" s="44">
        <v>2400102059</v>
      </c>
      <c r="C53" s="45" t="s">
        <v>116</v>
      </c>
      <c r="D53" s="15">
        <v>10</v>
      </c>
      <c r="E53" s="13">
        <v>10</v>
      </c>
      <c r="F53" s="13"/>
      <c r="G53" s="15">
        <f t="shared" si="0"/>
        <v>15</v>
      </c>
    </row>
    <row r="54" spans="1:7" s="14" customFormat="1" ht="27" customHeight="1" x14ac:dyDescent="0.3">
      <c r="A54" s="13">
        <v>40</v>
      </c>
      <c r="B54" s="44">
        <v>2400102060</v>
      </c>
      <c r="C54" s="45" t="s">
        <v>117</v>
      </c>
      <c r="D54" s="15">
        <v>10</v>
      </c>
      <c r="E54" s="13">
        <v>10</v>
      </c>
      <c r="F54" s="13"/>
      <c r="G54" s="15">
        <f t="shared" si="0"/>
        <v>15</v>
      </c>
    </row>
    <row r="55" spans="1:7" s="14" customFormat="1" ht="15.6" x14ac:dyDescent="0.3">
      <c r="A55" s="16"/>
      <c r="B55" s="16"/>
      <c r="D55" s="17"/>
      <c r="E55" s="18"/>
      <c r="F55" s="18"/>
    </row>
    <row r="56" spans="1:7" s="14" customFormat="1" ht="15.6" x14ac:dyDescent="0.3">
      <c r="D56" s="17"/>
      <c r="E56" s="18"/>
      <c r="F56" s="18"/>
    </row>
    <row r="57" spans="1:7" s="14" customFormat="1" ht="15.6" x14ac:dyDescent="0.3">
      <c r="A57" s="50" t="s">
        <v>26</v>
      </c>
      <c r="B57" s="50"/>
      <c r="C57" s="50"/>
      <c r="D57" s="50"/>
      <c r="E57" s="50"/>
      <c r="F57" s="50"/>
      <c r="G57" s="50"/>
    </row>
    <row r="58" spans="1:7" s="14" customFormat="1" ht="15.75" customHeight="1" x14ac:dyDescent="0.3">
      <c r="A58" s="51" t="s">
        <v>22</v>
      </c>
      <c r="B58" s="51"/>
      <c r="C58" s="51"/>
      <c r="D58" s="17"/>
      <c r="E58" s="18"/>
      <c r="F58" s="18"/>
    </row>
    <row r="59" spans="1:7" s="14" customFormat="1" ht="7.5" customHeight="1" x14ac:dyDescent="0.3">
      <c r="A59" s="16"/>
      <c r="B59" s="16"/>
      <c r="D59" s="17"/>
      <c r="E59" s="18"/>
      <c r="F59" s="18"/>
    </row>
    <row r="60" spans="1:7" s="14" customFormat="1" ht="15.6" x14ac:dyDescent="0.3">
      <c r="A60" s="52" t="s">
        <v>3</v>
      </c>
      <c r="B60" s="52"/>
      <c r="D60" s="17"/>
      <c r="E60" s="18"/>
      <c r="F60" s="18"/>
    </row>
    <row r="61" spans="1:7" s="14" customFormat="1" ht="15.6" x14ac:dyDescent="0.3">
      <c r="A61" s="16"/>
      <c r="B61" s="16"/>
      <c r="D61" s="17"/>
      <c r="E61" s="18"/>
      <c r="F61" s="18"/>
    </row>
    <row r="62" spans="1:7" s="14" customFormat="1" ht="15.6" x14ac:dyDescent="0.3">
      <c r="A62" s="16"/>
      <c r="B62" s="16"/>
      <c r="D62" s="17"/>
      <c r="E62" s="18"/>
      <c r="F62" s="18"/>
    </row>
    <row r="63" spans="1:7" s="14" customFormat="1" ht="30" customHeight="1" x14ac:dyDescent="0.3">
      <c r="A63" s="53" t="s">
        <v>23</v>
      </c>
      <c r="B63" s="53"/>
      <c r="C63" s="53"/>
      <c r="D63" s="53"/>
      <c r="E63" s="53"/>
      <c r="F63" s="53"/>
      <c r="G63" s="53"/>
    </row>
  </sheetData>
  <mergeCells count="18">
    <mergeCell ref="A9:D9"/>
    <mergeCell ref="F9:G9"/>
    <mergeCell ref="A3:G3"/>
    <mergeCell ref="A4:G4"/>
    <mergeCell ref="A5:G5"/>
    <mergeCell ref="A6:G6"/>
    <mergeCell ref="A7:G7"/>
    <mergeCell ref="F10:G10"/>
    <mergeCell ref="F11:G11"/>
    <mergeCell ref="A58:C58"/>
    <mergeCell ref="A60:B60"/>
    <mergeCell ref="A63:G63"/>
    <mergeCell ref="A57:G57"/>
    <mergeCell ref="A10:D10"/>
    <mergeCell ref="A11:D11"/>
    <mergeCell ref="A13:A14"/>
    <mergeCell ref="B13:B14"/>
    <mergeCell ref="C13:C14"/>
  </mergeCells>
  <conditionalFormatting sqref="C15:C54">
    <cfRule type="duplicateValues" dxfId="6" priority="4" stopIfTrue="1"/>
  </conditionalFormatting>
  <pageMargins left="0.31496062992125984" right="0.19685039370078741" top="0.39370078740157483" bottom="0.51181102362204722" header="0.31496062992125984" footer="0.31496062992125984"/>
  <pageSetup paperSize="9" scale="92" fitToHeight="0" orientation="portrait" r:id="rId1"/>
  <headerFooter>
    <oddFooter>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4" tint="-0.249977111117893"/>
    <pageSetUpPr fitToPage="1"/>
  </sheetPr>
  <dimension ref="A3:G63"/>
  <sheetViews>
    <sheetView showGridLines="0" view="pageBreakPreview" zoomScale="85" zoomScaleNormal="100" zoomScaleSheetLayoutView="85" workbookViewId="0">
      <selection activeCell="F14" sqref="F14"/>
    </sheetView>
  </sheetViews>
  <sheetFormatPr defaultRowHeight="14.4" x14ac:dyDescent="0.3"/>
  <cols>
    <col min="1" max="1" width="5.109375" style="4" customWidth="1"/>
    <col min="2" max="2" width="15.109375" style="4" customWidth="1"/>
    <col min="3" max="3" width="34.33203125" customWidth="1"/>
    <col min="4" max="4" width="11" style="1" customWidth="1"/>
    <col min="5" max="6" width="11" style="2" customWidth="1"/>
    <col min="7" max="7" width="18.88671875" customWidth="1"/>
  </cols>
  <sheetData>
    <row r="3" spans="1:7" s="5" customFormat="1" ht="42.75" customHeight="1" x14ac:dyDescent="0.3">
      <c r="A3" s="58"/>
      <c r="B3" s="58"/>
      <c r="C3" s="58"/>
      <c r="D3" s="58"/>
      <c r="E3" s="58"/>
      <c r="F3" s="58"/>
      <c r="G3" s="58"/>
    </row>
    <row r="4" spans="1:7" s="5" customFormat="1" ht="54.75" customHeight="1" thickBot="1" x14ac:dyDescent="0.35">
      <c r="A4" s="59" t="s">
        <v>12</v>
      </c>
      <c r="B4" s="59"/>
      <c r="C4" s="59"/>
      <c r="D4" s="59"/>
      <c r="E4" s="59"/>
      <c r="F4" s="59"/>
      <c r="G4" s="59"/>
    </row>
    <row r="5" spans="1:7" s="5" customFormat="1" ht="6.75" customHeight="1" x14ac:dyDescent="0.3">
      <c r="A5" s="60" t="s">
        <v>2</v>
      </c>
      <c r="B5" s="60"/>
      <c r="C5" s="60"/>
      <c r="D5" s="60"/>
      <c r="E5" s="60"/>
      <c r="F5" s="60"/>
      <c r="G5" s="60"/>
    </row>
    <row r="6" spans="1:7" s="5" customFormat="1" ht="25.5" customHeight="1" x14ac:dyDescent="0.3">
      <c r="A6" s="61" t="s">
        <v>76</v>
      </c>
      <c r="B6" s="61"/>
      <c r="C6" s="61"/>
      <c r="D6" s="61"/>
      <c r="E6" s="61"/>
      <c r="F6" s="61"/>
      <c r="G6" s="61"/>
    </row>
    <row r="7" spans="1:7" s="5" customFormat="1" ht="25.5" customHeight="1" x14ac:dyDescent="0.3">
      <c r="A7" s="61" t="s">
        <v>65</v>
      </c>
      <c r="B7" s="61"/>
      <c r="C7" s="61"/>
      <c r="D7" s="61"/>
      <c r="E7" s="61"/>
      <c r="F7" s="61"/>
      <c r="G7" s="61"/>
    </row>
    <row r="8" spans="1:7" s="23" customFormat="1" ht="14.25" customHeight="1" x14ac:dyDescent="0.3">
      <c r="A8" s="6"/>
      <c r="B8" s="6"/>
      <c r="C8" s="6"/>
      <c r="D8" s="6"/>
      <c r="E8" s="6"/>
      <c r="F8" s="6"/>
      <c r="G8" s="6"/>
    </row>
    <row r="9" spans="1:7" s="22" customFormat="1" ht="23.25" customHeight="1" x14ac:dyDescent="0.3">
      <c r="A9" s="57" t="s">
        <v>118</v>
      </c>
      <c r="B9" s="57"/>
      <c r="C9" s="57"/>
      <c r="D9" s="57"/>
      <c r="F9" s="57" t="s">
        <v>64</v>
      </c>
      <c r="G9" s="57"/>
    </row>
    <row r="10" spans="1:7" s="23" customFormat="1" ht="23.25" customHeight="1" x14ac:dyDescent="0.3">
      <c r="A10" s="54" t="s">
        <v>122</v>
      </c>
      <c r="B10" s="54"/>
      <c r="C10" s="54"/>
      <c r="D10" s="54"/>
      <c r="F10" s="54" t="s">
        <v>128</v>
      </c>
      <c r="G10" s="54"/>
    </row>
    <row r="11" spans="1:7" s="23" customFormat="1" ht="23.25" customHeight="1" x14ac:dyDescent="0.3">
      <c r="A11" s="54" t="s">
        <v>129</v>
      </c>
      <c r="B11" s="54"/>
      <c r="C11" s="54"/>
      <c r="D11" s="54"/>
      <c r="F11" s="54" t="s">
        <v>130</v>
      </c>
      <c r="G11" s="54"/>
    </row>
    <row r="12" spans="1:7" s="23" customFormat="1" ht="10.5" customHeight="1" x14ac:dyDescent="0.3">
      <c r="A12" s="6"/>
      <c r="B12" s="6"/>
      <c r="C12" s="6"/>
      <c r="D12" s="6"/>
      <c r="E12" s="6"/>
      <c r="F12" s="6"/>
      <c r="G12" s="6"/>
    </row>
    <row r="13" spans="1:7" s="12" customFormat="1" ht="34.5" customHeight="1" x14ac:dyDescent="0.3">
      <c r="A13" s="55" t="s">
        <v>0</v>
      </c>
      <c r="B13" s="55" t="s">
        <v>1</v>
      </c>
      <c r="C13" s="55" t="s">
        <v>25</v>
      </c>
      <c r="D13" s="11" t="s">
        <v>74</v>
      </c>
      <c r="E13" s="11" t="s">
        <v>75</v>
      </c>
      <c r="F13" s="11"/>
      <c r="G13" s="11" t="s">
        <v>73</v>
      </c>
    </row>
    <row r="14" spans="1:7" s="12" customFormat="1" ht="27" customHeight="1" x14ac:dyDescent="0.3">
      <c r="A14" s="56"/>
      <c r="B14" s="56"/>
      <c r="C14" s="56"/>
      <c r="D14" s="37" t="s">
        <v>9</v>
      </c>
      <c r="E14" s="37" t="s">
        <v>9</v>
      </c>
      <c r="F14" s="37"/>
      <c r="G14" s="37" t="s">
        <v>24</v>
      </c>
    </row>
    <row r="15" spans="1:7" s="14" customFormat="1" ht="27" customHeight="1" x14ac:dyDescent="0.3">
      <c r="A15" s="13">
        <v>1</v>
      </c>
      <c r="B15" s="44">
        <v>2400102000</v>
      </c>
      <c r="C15" s="45" t="s">
        <v>78</v>
      </c>
      <c r="D15" s="13">
        <v>8</v>
      </c>
      <c r="E15" s="13">
        <v>8</v>
      </c>
      <c r="F15" s="13"/>
      <c r="G15" s="15">
        <f>SUM(D15:F15)*20/(COUNTIF(D15:F15,"&lt;&gt;")*10)</f>
        <v>16</v>
      </c>
    </row>
    <row r="16" spans="1:7" s="14" customFormat="1" ht="27" customHeight="1" x14ac:dyDescent="0.3">
      <c r="A16" s="13">
        <v>2</v>
      </c>
      <c r="B16" s="44">
        <v>2400102001</v>
      </c>
      <c r="C16" s="45" t="s">
        <v>79</v>
      </c>
      <c r="D16" s="15">
        <v>10</v>
      </c>
      <c r="E16" s="42">
        <v>10</v>
      </c>
      <c r="F16" s="42"/>
      <c r="G16" s="15">
        <f t="shared" ref="G16:G54" si="0">SUM(D16:F16)*20/(COUNTIF(D16:F16,"&lt;&gt;")*10)</f>
        <v>20</v>
      </c>
    </row>
    <row r="17" spans="1:7" s="14" customFormat="1" ht="27" customHeight="1" x14ac:dyDescent="0.3">
      <c r="A17" s="13">
        <v>3</v>
      </c>
      <c r="B17" s="44">
        <v>2400102002</v>
      </c>
      <c r="C17" s="45" t="s">
        <v>80</v>
      </c>
      <c r="D17" s="15">
        <v>7</v>
      </c>
      <c r="E17" s="42">
        <v>7</v>
      </c>
      <c r="F17" s="42"/>
      <c r="G17" s="15">
        <f t="shared" si="0"/>
        <v>14</v>
      </c>
    </row>
    <row r="18" spans="1:7" s="14" customFormat="1" ht="27" customHeight="1" x14ac:dyDescent="0.3">
      <c r="A18" s="13">
        <v>4</v>
      </c>
      <c r="B18" s="44">
        <v>2400102003</v>
      </c>
      <c r="C18" s="45" t="s">
        <v>81</v>
      </c>
      <c r="D18" s="15">
        <v>10</v>
      </c>
      <c r="E18" s="42">
        <v>10</v>
      </c>
      <c r="F18" s="42"/>
      <c r="G18" s="15">
        <f t="shared" si="0"/>
        <v>20</v>
      </c>
    </row>
    <row r="19" spans="1:7" s="14" customFormat="1" ht="27" customHeight="1" x14ac:dyDescent="0.3">
      <c r="A19" s="13">
        <v>5</v>
      </c>
      <c r="B19" s="44">
        <v>2400102004</v>
      </c>
      <c r="C19" s="45" t="s">
        <v>82</v>
      </c>
      <c r="D19" s="15">
        <v>9</v>
      </c>
      <c r="E19" s="42">
        <v>10</v>
      </c>
      <c r="F19" s="42"/>
      <c r="G19" s="15">
        <f t="shared" si="0"/>
        <v>19</v>
      </c>
    </row>
    <row r="20" spans="1:7" s="14" customFormat="1" ht="27" customHeight="1" x14ac:dyDescent="0.3">
      <c r="A20" s="13">
        <v>6</v>
      </c>
      <c r="B20" s="44">
        <v>2400102005</v>
      </c>
      <c r="C20" s="45" t="s">
        <v>83</v>
      </c>
      <c r="D20" s="15">
        <v>10</v>
      </c>
      <c r="E20" s="42">
        <v>10</v>
      </c>
      <c r="F20" s="42"/>
      <c r="G20" s="15">
        <f t="shared" si="0"/>
        <v>20</v>
      </c>
    </row>
    <row r="21" spans="1:7" s="14" customFormat="1" ht="27" customHeight="1" x14ac:dyDescent="0.3">
      <c r="A21" s="13">
        <v>7</v>
      </c>
      <c r="B21" s="44">
        <v>2400102006</v>
      </c>
      <c r="C21" s="45" t="s">
        <v>84</v>
      </c>
      <c r="D21" s="15">
        <v>10</v>
      </c>
      <c r="E21" s="42">
        <v>10</v>
      </c>
      <c r="F21" s="42"/>
      <c r="G21" s="15">
        <f t="shared" si="0"/>
        <v>20</v>
      </c>
    </row>
    <row r="22" spans="1:7" s="14" customFormat="1" ht="27" customHeight="1" x14ac:dyDescent="0.3">
      <c r="A22" s="13">
        <v>8</v>
      </c>
      <c r="B22" s="44">
        <v>2400102007</v>
      </c>
      <c r="C22" s="45" t="s">
        <v>85</v>
      </c>
      <c r="D22" s="15">
        <v>9</v>
      </c>
      <c r="E22" s="42">
        <v>10</v>
      </c>
      <c r="F22" s="42"/>
      <c r="G22" s="15">
        <f t="shared" si="0"/>
        <v>19</v>
      </c>
    </row>
    <row r="23" spans="1:7" s="14" customFormat="1" ht="27" customHeight="1" x14ac:dyDescent="0.3">
      <c r="A23" s="13">
        <v>9</v>
      </c>
      <c r="B23" s="44">
        <v>2400102008</v>
      </c>
      <c r="C23" s="45" t="s">
        <v>86</v>
      </c>
      <c r="D23" s="15">
        <v>9</v>
      </c>
      <c r="E23" s="42">
        <v>9</v>
      </c>
      <c r="F23" s="42"/>
      <c r="G23" s="15">
        <f t="shared" si="0"/>
        <v>18</v>
      </c>
    </row>
    <row r="24" spans="1:7" s="14" customFormat="1" ht="27" customHeight="1" x14ac:dyDescent="0.3">
      <c r="A24" s="13">
        <v>10</v>
      </c>
      <c r="B24" s="44">
        <v>2400102011</v>
      </c>
      <c r="C24" s="45" t="s">
        <v>87</v>
      </c>
      <c r="D24" s="15">
        <v>8</v>
      </c>
      <c r="E24" s="42">
        <v>8</v>
      </c>
      <c r="F24" s="42"/>
      <c r="G24" s="15">
        <f t="shared" si="0"/>
        <v>16</v>
      </c>
    </row>
    <row r="25" spans="1:7" s="14" customFormat="1" ht="27" customHeight="1" x14ac:dyDescent="0.3">
      <c r="A25" s="13">
        <v>11</v>
      </c>
      <c r="B25" s="44">
        <v>2400102012</v>
      </c>
      <c r="C25" s="45" t="s">
        <v>88</v>
      </c>
      <c r="D25" s="15">
        <v>10</v>
      </c>
      <c r="E25" s="42">
        <v>10</v>
      </c>
      <c r="F25" s="42"/>
      <c r="G25" s="15">
        <f t="shared" si="0"/>
        <v>20</v>
      </c>
    </row>
    <row r="26" spans="1:7" s="14" customFormat="1" ht="27" customHeight="1" x14ac:dyDescent="0.3">
      <c r="A26" s="13">
        <v>12</v>
      </c>
      <c r="B26" s="44">
        <v>2400102013</v>
      </c>
      <c r="C26" s="45" t="s">
        <v>89</v>
      </c>
      <c r="D26" s="15">
        <v>9</v>
      </c>
      <c r="E26" s="42">
        <v>10</v>
      </c>
      <c r="F26" s="42"/>
      <c r="G26" s="15">
        <f t="shared" si="0"/>
        <v>19</v>
      </c>
    </row>
    <row r="27" spans="1:7" s="14" customFormat="1" ht="27" customHeight="1" x14ac:dyDescent="0.3">
      <c r="A27" s="13">
        <v>13</v>
      </c>
      <c r="B27" s="44">
        <v>2400102014</v>
      </c>
      <c r="C27" s="45" t="s">
        <v>90</v>
      </c>
      <c r="D27" s="15">
        <v>9</v>
      </c>
      <c r="E27" s="42">
        <v>9</v>
      </c>
      <c r="F27" s="42"/>
      <c r="G27" s="15">
        <f t="shared" si="0"/>
        <v>18</v>
      </c>
    </row>
    <row r="28" spans="1:7" s="14" customFormat="1" ht="27" customHeight="1" x14ac:dyDescent="0.3">
      <c r="A28" s="13">
        <v>14</v>
      </c>
      <c r="B28" s="44">
        <v>2400102016</v>
      </c>
      <c r="C28" s="45" t="s">
        <v>91</v>
      </c>
      <c r="D28" s="15">
        <v>10</v>
      </c>
      <c r="E28" s="42">
        <v>10</v>
      </c>
      <c r="F28" s="42"/>
      <c r="G28" s="15">
        <f t="shared" si="0"/>
        <v>20</v>
      </c>
    </row>
    <row r="29" spans="1:7" s="14" customFormat="1" ht="27" customHeight="1" x14ac:dyDescent="0.3">
      <c r="A29" s="13">
        <v>15</v>
      </c>
      <c r="B29" s="44">
        <v>2400102017</v>
      </c>
      <c r="C29" s="45" t="s">
        <v>92</v>
      </c>
      <c r="D29" s="15">
        <v>10</v>
      </c>
      <c r="E29" s="42">
        <v>10</v>
      </c>
      <c r="F29" s="42"/>
      <c r="G29" s="15">
        <f t="shared" si="0"/>
        <v>20</v>
      </c>
    </row>
    <row r="30" spans="1:7" s="14" customFormat="1" ht="27" customHeight="1" x14ac:dyDescent="0.3">
      <c r="A30" s="13">
        <v>16</v>
      </c>
      <c r="B30" s="44">
        <v>2400102019</v>
      </c>
      <c r="C30" s="45" t="s">
        <v>93</v>
      </c>
      <c r="D30" s="15">
        <v>10</v>
      </c>
      <c r="E30" s="42">
        <v>10</v>
      </c>
      <c r="F30" s="42"/>
      <c r="G30" s="15">
        <f t="shared" si="0"/>
        <v>20</v>
      </c>
    </row>
    <row r="31" spans="1:7" s="14" customFormat="1" ht="27" customHeight="1" x14ac:dyDescent="0.3">
      <c r="A31" s="13">
        <v>17</v>
      </c>
      <c r="B31" s="44">
        <v>2400102021</v>
      </c>
      <c r="C31" s="45" t="s">
        <v>94</v>
      </c>
      <c r="D31" s="15">
        <v>8</v>
      </c>
      <c r="E31" s="42">
        <v>8</v>
      </c>
      <c r="F31" s="42"/>
      <c r="G31" s="15">
        <f t="shared" si="0"/>
        <v>16</v>
      </c>
    </row>
    <row r="32" spans="1:7" s="14" customFormat="1" ht="27" customHeight="1" x14ac:dyDescent="0.3">
      <c r="A32" s="13">
        <v>18</v>
      </c>
      <c r="B32" s="44">
        <v>2400102022</v>
      </c>
      <c r="C32" s="45" t="s">
        <v>95</v>
      </c>
      <c r="D32" s="15">
        <v>10</v>
      </c>
      <c r="E32" s="42">
        <v>10</v>
      </c>
      <c r="F32" s="42"/>
      <c r="G32" s="15">
        <f t="shared" si="0"/>
        <v>20</v>
      </c>
    </row>
    <row r="33" spans="1:7" s="14" customFormat="1" ht="27" customHeight="1" x14ac:dyDescent="0.3">
      <c r="A33" s="13">
        <v>19</v>
      </c>
      <c r="B33" s="44">
        <v>2400102023</v>
      </c>
      <c r="C33" s="45" t="s">
        <v>96</v>
      </c>
      <c r="D33" s="15">
        <v>10</v>
      </c>
      <c r="E33" s="42">
        <v>9</v>
      </c>
      <c r="F33" s="42"/>
      <c r="G33" s="15">
        <f t="shared" si="0"/>
        <v>19</v>
      </c>
    </row>
    <row r="34" spans="1:7" s="14" customFormat="1" ht="27" customHeight="1" x14ac:dyDescent="0.3">
      <c r="A34" s="13">
        <v>20</v>
      </c>
      <c r="B34" s="44">
        <v>2400102024</v>
      </c>
      <c r="C34" s="45" t="s">
        <v>97</v>
      </c>
      <c r="D34" s="15">
        <v>10</v>
      </c>
      <c r="E34" s="42">
        <v>10</v>
      </c>
      <c r="F34" s="42"/>
      <c r="G34" s="15">
        <f t="shared" si="0"/>
        <v>20</v>
      </c>
    </row>
    <row r="35" spans="1:7" s="14" customFormat="1" ht="27" customHeight="1" x14ac:dyDescent="0.3">
      <c r="A35" s="13">
        <v>21</v>
      </c>
      <c r="B35" s="44">
        <v>2400102025</v>
      </c>
      <c r="C35" s="45" t="s">
        <v>98</v>
      </c>
      <c r="D35" s="15">
        <v>10</v>
      </c>
      <c r="E35" s="42">
        <v>9</v>
      </c>
      <c r="F35" s="42"/>
      <c r="G35" s="15">
        <f t="shared" si="0"/>
        <v>19</v>
      </c>
    </row>
    <row r="36" spans="1:7" s="14" customFormat="1" ht="27" customHeight="1" x14ac:dyDescent="0.3">
      <c r="A36" s="13">
        <v>22</v>
      </c>
      <c r="B36" s="44">
        <v>2400102026</v>
      </c>
      <c r="C36" s="45" t="s">
        <v>99</v>
      </c>
      <c r="D36" s="15">
        <v>10</v>
      </c>
      <c r="E36" s="42">
        <v>10</v>
      </c>
      <c r="F36" s="42"/>
      <c r="G36" s="15">
        <f t="shared" si="0"/>
        <v>20</v>
      </c>
    </row>
    <row r="37" spans="1:7" s="14" customFormat="1" ht="27" customHeight="1" x14ac:dyDescent="0.3">
      <c r="A37" s="13">
        <v>23</v>
      </c>
      <c r="B37" s="44">
        <v>2400102028</v>
      </c>
      <c r="C37" s="45" t="s">
        <v>100</v>
      </c>
      <c r="D37" s="15">
        <v>8</v>
      </c>
      <c r="E37" s="42">
        <v>9</v>
      </c>
      <c r="F37" s="42"/>
      <c r="G37" s="15">
        <f t="shared" si="0"/>
        <v>17</v>
      </c>
    </row>
    <row r="38" spans="1:7" s="14" customFormat="1" ht="27" customHeight="1" x14ac:dyDescent="0.3">
      <c r="A38" s="13">
        <v>24</v>
      </c>
      <c r="B38" s="44">
        <v>2400102029</v>
      </c>
      <c r="C38" s="45" t="s">
        <v>101</v>
      </c>
      <c r="D38" s="15">
        <v>10</v>
      </c>
      <c r="E38" s="42">
        <v>10</v>
      </c>
      <c r="F38" s="42"/>
      <c r="G38" s="15">
        <f t="shared" si="0"/>
        <v>20</v>
      </c>
    </row>
    <row r="39" spans="1:7" s="14" customFormat="1" ht="27" customHeight="1" x14ac:dyDescent="0.3">
      <c r="A39" s="13">
        <v>25</v>
      </c>
      <c r="B39" s="44">
        <v>2400102031</v>
      </c>
      <c r="C39" s="45" t="s">
        <v>102</v>
      </c>
      <c r="D39" s="15">
        <v>10</v>
      </c>
      <c r="E39" s="42">
        <v>10</v>
      </c>
      <c r="F39" s="42"/>
      <c r="G39" s="15">
        <f t="shared" si="0"/>
        <v>20</v>
      </c>
    </row>
    <row r="40" spans="1:7" s="14" customFormat="1" ht="27" customHeight="1" x14ac:dyDescent="0.3">
      <c r="A40" s="13">
        <v>26</v>
      </c>
      <c r="B40" s="44">
        <v>2400102033</v>
      </c>
      <c r="C40" s="45" t="s">
        <v>103</v>
      </c>
      <c r="D40" s="15">
        <v>9</v>
      </c>
      <c r="E40" s="42">
        <v>9</v>
      </c>
      <c r="F40" s="42"/>
      <c r="G40" s="15">
        <f t="shared" si="0"/>
        <v>18</v>
      </c>
    </row>
    <row r="41" spans="1:7" s="14" customFormat="1" ht="27" customHeight="1" x14ac:dyDescent="0.3">
      <c r="A41" s="13">
        <v>27</v>
      </c>
      <c r="B41" s="44">
        <v>2400102034</v>
      </c>
      <c r="C41" s="45" t="s">
        <v>104</v>
      </c>
      <c r="D41" s="15">
        <v>8</v>
      </c>
      <c r="E41" s="42">
        <v>9</v>
      </c>
      <c r="F41" s="42"/>
      <c r="G41" s="15">
        <f t="shared" si="0"/>
        <v>17</v>
      </c>
    </row>
    <row r="42" spans="1:7" s="14" customFormat="1" ht="27" customHeight="1" x14ac:dyDescent="0.3">
      <c r="A42" s="13">
        <v>28</v>
      </c>
      <c r="B42" s="44">
        <v>2400102038</v>
      </c>
      <c r="C42" s="45" t="s">
        <v>105</v>
      </c>
      <c r="D42" s="15">
        <v>9</v>
      </c>
      <c r="E42" s="13">
        <v>10</v>
      </c>
      <c r="F42" s="13"/>
      <c r="G42" s="15">
        <f t="shared" si="0"/>
        <v>19</v>
      </c>
    </row>
    <row r="43" spans="1:7" s="14" customFormat="1" ht="27" customHeight="1" x14ac:dyDescent="0.3">
      <c r="A43" s="13">
        <v>29</v>
      </c>
      <c r="B43" s="44">
        <v>2400102039</v>
      </c>
      <c r="C43" s="45" t="s">
        <v>106</v>
      </c>
      <c r="D43" s="15">
        <v>10</v>
      </c>
      <c r="E43" s="13">
        <v>10</v>
      </c>
      <c r="F43" s="13"/>
      <c r="G43" s="15">
        <f t="shared" si="0"/>
        <v>20</v>
      </c>
    </row>
    <row r="44" spans="1:7" s="14" customFormat="1" ht="27" customHeight="1" x14ac:dyDescent="0.3">
      <c r="A44" s="13">
        <v>30</v>
      </c>
      <c r="B44" s="44">
        <v>2400102041</v>
      </c>
      <c r="C44" s="45" t="s">
        <v>107</v>
      </c>
      <c r="D44" s="15">
        <v>9</v>
      </c>
      <c r="E44" s="42">
        <v>10</v>
      </c>
      <c r="F44" s="42"/>
      <c r="G44" s="15">
        <f t="shared" si="0"/>
        <v>19</v>
      </c>
    </row>
    <row r="45" spans="1:7" s="14" customFormat="1" ht="27" customHeight="1" x14ac:dyDescent="0.3">
      <c r="A45" s="13">
        <v>31</v>
      </c>
      <c r="B45" s="44">
        <v>2400102042</v>
      </c>
      <c r="C45" s="45" t="s">
        <v>108</v>
      </c>
      <c r="D45" s="15">
        <v>10</v>
      </c>
      <c r="E45" s="42">
        <v>10</v>
      </c>
      <c r="F45" s="42"/>
      <c r="G45" s="15">
        <f t="shared" si="0"/>
        <v>20</v>
      </c>
    </row>
    <row r="46" spans="1:7" s="14" customFormat="1" ht="27" customHeight="1" x14ac:dyDescent="0.3">
      <c r="A46" s="13">
        <v>32</v>
      </c>
      <c r="B46" s="44">
        <v>2400102044</v>
      </c>
      <c r="C46" s="45" t="s">
        <v>109</v>
      </c>
      <c r="D46" s="15">
        <v>10</v>
      </c>
      <c r="E46" s="42">
        <v>10</v>
      </c>
      <c r="F46" s="42"/>
      <c r="G46" s="15">
        <f t="shared" si="0"/>
        <v>20</v>
      </c>
    </row>
    <row r="47" spans="1:7" s="14" customFormat="1" ht="27" customHeight="1" x14ac:dyDescent="0.3">
      <c r="A47" s="13">
        <v>33</v>
      </c>
      <c r="B47" s="44">
        <v>2400102046</v>
      </c>
      <c r="C47" s="45" t="s">
        <v>110</v>
      </c>
      <c r="D47" s="15">
        <v>9</v>
      </c>
      <c r="E47" s="42">
        <v>9</v>
      </c>
      <c r="F47" s="42"/>
      <c r="G47" s="15">
        <f t="shared" si="0"/>
        <v>18</v>
      </c>
    </row>
    <row r="48" spans="1:7" s="14" customFormat="1" ht="27" customHeight="1" x14ac:dyDescent="0.3">
      <c r="A48" s="13">
        <v>34</v>
      </c>
      <c r="B48" s="44">
        <v>2400102048</v>
      </c>
      <c r="C48" s="45" t="s">
        <v>111</v>
      </c>
      <c r="D48" s="15">
        <v>10</v>
      </c>
      <c r="E48" s="42">
        <v>9</v>
      </c>
      <c r="F48" s="42"/>
      <c r="G48" s="15">
        <f t="shared" si="0"/>
        <v>19</v>
      </c>
    </row>
    <row r="49" spans="1:7" s="14" customFormat="1" ht="27" customHeight="1" x14ac:dyDescent="0.3">
      <c r="A49" s="13">
        <v>35</v>
      </c>
      <c r="B49" s="44">
        <v>2400102051</v>
      </c>
      <c r="C49" s="45" t="s">
        <v>112</v>
      </c>
      <c r="D49" s="15">
        <v>10</v>
      </c>
      <c r="E49" s="42">
        <v>9</v>
      </c>
      <c r="F49" s="42"/>
      <c r="G49" s="15">
        <f t="shared" si="0"/>
        <v>19</v>
      </c>
    </row>
    <row r="50" spans="1:7" s="14" customFormat="1" ht="27" customHeight="1" x14ac:dyDescent="0.3">
      <c r="A50" s="13">
        <v>36</v>
      </c>
      <c r="B50" s="44">
        <v>2400102054</v>
      </c>
      <c r="C50" s="45" t="s">
        <v>113</v>
      </c>
      <c r="D50" s="15">
        <v>9</v>
      </c>
      <c r="E50" s="42">
        <v>9</v>
      </c>
      <c r="F50" s="42"/>
      <c r="G50" s="15">
        <f t="shared" si="0"/>
        <v>18</v>
      </c>
    </row>
    <row r="51" spans="1:7" s="14" customFormat="1" ht="27" customHeight="1" x14ac:dyDescent="0.3">
      <c r="A51" s="13">
        <v>37</v>
      </c>
      <c r="B51" s="44">
        <v>2400102057</v>
      </c>
      <c r="C51" s="45" t="s">
        <v>114</v>
      </c>
      <c r="D51" s="15">
        <v>9</v>
      </c>
      <c r="E51" s="42">
        <v>8</v>
      </c>
      <c r="F51" s="42"/>
      <c r="G51" s="15">
        <f t="shared" si="0"/>
        <v>17</v>
      </c>
    </row>
    <row r="52" spans="1:7" s="14" customFormat="1" ht="27" customHeight="1" x14ac:dyDescent="0.3">
      <c r="A52" s="13">
        <v>38</v>
      </c>
      <c r="B52" s="44">
        <v>2400102058</v>
      </c>
      <c r="C52" s="45" t="s">
        <v>115</v>
      </c>
      <c r="D52" s="15">
        <v>10</v>
      </c>
      <c r="E52" s="42">
        <v>9</v>
      </c>
      <c r="F52" s="42"/>
      <c r="G52" s="15">
        <f t="shared" si="0"/>
        <v>19</v>
      </c>
    </row>
    <row r="53" spans="1:7" s="14" customFormat="1" ht="27" customHeight="1" x14ac:dyDescent="0.3">
      <c r="A53" s="13">
        <v>39</v>
      </c>
      <c r="B53" s="44">
        <v>2400102059</v>
      </c>
      <c r="C53" s="45" t="s">
        <v>116</v>
      </c>
      <c r="D53" s="15">
        <v>9</v>
      </c>
      <c r="E53" s="42">
        <v>9</v>
      </c>
      <c r="F53" s="42"/>
      <c r="G53" s="15">
        <f t="shared" si="0"/>
        <v>18</v>
      </c>
    </row>
    <row r="54" spans="1:7" s="14" customFormat="1" ht="27" customHeight="1" x14ac:dyDescent="0.3">
      <c r="A54" s="13">
        <v>40</v>
      </c>
      <c r="B54" s="44">
        <v>2400102060</v>
      </c>
      <c r="C54" s="45" t="s">
        <v>117</v>
      </c>
      <c r="D54" s="15">
        <v>10</v>
      </c>
      <c r="E54" s="42">
        <v>10</v>
      </c>
      <c r="F54" s="42"/>
      <c r="G54" s="15">
        <f t="shared" si="0"/>
        <v>20</v>
      </c>
    </row>
    <row r="55" spans="1:7" s="14" customFormat="1" ht="15.6" x14ac:dyDescent="0.3">
      <c r="A55" s="16"/>
      <c r="B55" s="16"/>
      <c r="D55" s="17"/>
      <c r="E55" s="18"/>
      <c r="F55" s="18"/>
    </row>
    <row r="56" spans="1:7" s="14" customFormat="1" ht="15.6" x14ac:dyDescent="0.3">
      <c r="D56" s="17"/>
      <c r="E56" s="18"/>
      <c r="F56" s="18"/>
    </row>
    <row r="57" spans="1:7" s="14" customFormat="1" ht="15.6" x14ac:dyDescent="0.3">
      <c r="A57" s="50" t="s">
        <v>26</v>
      </c>
      <c r="B57" s="50"/>
      <c r="C57" s="50"/>
      <c r="D57" s="50"/>
      <c r="E57" s="50"/>
      <c r="F57" s="50"/>
      <c r="G57" s="50"/>
    </row>
    <row r="58" spans="1:7" s="14" customFormat="1" ht="15.75" customHeight="1" x14ac:dyDescent="0.3">
      <c r="A58" s="51" t="s">
        <v>22</v>
      </c>
      <c r="B58" s="51"/>
      <c r="C58" s="51"/>
      <c r="D58" s="17"/>
      <c r="E58" s="18"/>
      <c r="F58" s="18"/>
    </row>
    <row r="59" spans="1:7" s="14" customFormat="1" ht="7.5" customHeight="1" x14ac:dyDescent="0.3">
      <c r="A59" s="16"/>
      <c r="B59" s="16"/>
      <c r="D59" s="17"/>
      <c r="E59" s="18"/>
      <c r="F59" s="18"/>
    </row>
    <row r="60" spans="1:7" s="14" customFormat="1" ht="15.6" x14ac:dyDescent="0.3">
      <c r="A60" s="52" t="s">
        <v>3</v>
      </c>
      <c r="B60" s="52"/>
      <c r="D60" s="17"/>
      <c r="E60" s="18"/>
      <c r="F60" s="18"/>
    </row>
    <row r="61" spans="1:7" s="14" customFormat="1" ht="15.6" x14ac:dyDescent="0.3">
      <c r="A61" s="16"/>
      <c r="B61" s="16"/>
      <c r="D61" s="17"/>
      <c r="E61" s="18"/>
      <c r="F61" s="18"/>
    </row>
    <row r="62" spans="1:7" s="14" customFormat="1" ht="15.6" x14ac:dyDescent="0.3">
      <c r="A62" s="16"/>
      <c r="B62" s="16"/>
      <c r="D62" s="17"/>
      <c r="E62" s="18"/>
      <c r="F62" s="18"/>
    </row>
    <row r="63" spans="1:7" s="14" customFormat="1" ht="30" customHeight="1" x14ac:dyDescent="0.3">
      <c r="A63" s="53" t="s">
        <v>23</v>
      </c>
      <c r="B63" s="53"/>
      <c r="C63" s="53"/>
      <c r="D63" s="53"/>
      <c r="E63" s="53"/>
      <c r="F63" s="53"/>
      <c r="G63" s="53"/>
    </row>
  </sheetData>
  <mergeCells count="18">
    <mergeCell ref="A9:D9"/>
    <mergeCell ref="F9:G9"/>
    <mergeCell ref="A3:G3"/>
    <mergeCell ref="A4:G4"/>
    <mergeCell ref="A5:G5"/>
    <mergeCell ref="A6:G6"/>
    <mergeCell ref="A7:G7"/>
    <mergeCell ref="A57:G57"/>
    <mergeCell ref="A58:C58"/>
    <mergeCell ref="A60:B60"/>
    <mergeCell ref="A63:G63"/>
    <mergeCell ref="A10:D10"/>
    <mergeCell ref="F10:G10"/>
    <mergeCell ref="A11:D11"/>
    <mergeCell ref="F11:G11"/>
    <mergeCell ref="A13:A14"/>
    <mergeCell ref="B13:B14"/>
    <mergeCell ref="C13:C14"/>
  </mergeCells>
  <phoneticPr fontId="16" type="noConversion"/>
  <conditionalFormatting sqref="C15:C54">
    <cfRule type="duplicateValues" dxfId="5" priority="5" stopIfTrue="1"/>
  </conditionalFormatting>
  <pageMargins left="0.31496062992125984" right="0.19685039370078741" top="0.39370078740157483" bottom="0.51181102362204722" header="0.31496062992125984" footer="0.31496062992125984"/>
  <pageSetup paperSize="9" scale="92" fitToHeight="0" orientation="portrait" r:id="rId1"/>
  <headerFooter>
    <oddFooter>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5" tint="-0.499984740745262"/>
    <pageSetUpPr fitToPage="1"/>
  </sheetPr>
  <dimension ref="A3:G62"/>
  <sheetViews>
    <sheetView showGridLines="0" tabSelected="1" view="pageBreakPreview" zoomScaleNormal="100" zoomScaleSheetLayoutView="100" workbookViewId="0">
      <selection activeCell="A13" sqref="A13:F15"/>
    </sheetView>
  </sheetViews>
  <sheetFormatPr defaultColWidth="9.109375" defaultRowHeight="14.4" x14ac:dyDescent="0.3"/>
  <cols>
    <col min="1" max="1" width="5.109375" style="4" customWidth="1"/>
    <col min="2" max="2" width="15.109375" style="4" customWidth="1"/>
    <col min="3" max="3" width="28.33203125" customWidth="1"/>
    <col min="4" max="4" width="10.44140625" style="1" customWidth="1"/>
    <col min="5" max="5" width="12.109375" style="2" customWidth="1"/>
    <col min="6" max="6" width="13.88671875" style="3" customWidth="1"/>
    <col min="7" max="7" width="21.44140625" customWidth="1"/>
  </cols>
  <sheetData>
    <row r="3" spans="1:7" s="5" customFormat="1" ht="42.75" customHeight="1" x14ac:dyDescent="0.3">
      <c r="A3" s="58"/>
      <c r="B3" s="58"/>
      <c r="C3" s="58"/>
      <c r="D3" s="58"/>
      <c r="E3" s="58"/>
      <c r="F3" s="58"/>
      <c r="G3" s="58"/>
    </row>
    <row r="4" spans="1:7" s="5" customFormat="1" ht="51" customHeight="1" thickBot="1" x14ac:dyDescent="0.35">
      <c r="A4" s="59" t="s">
        <v>11</v>
      </c>
      <c r="B4" s="59"/>
      <c r="C4" s="59"/>
      <c r="D4" s="59"/>
      <c r="E4" s="59"/>
      <c r="F4" s="59"/>
      <c r="G4" s="59"/>
    </row>
    <row r="5" spans="1:7" s="5" customFormat="1" ht="6.75" customHeight="1" x14ac:dyDescent="0.3">
      <c r="A5" s="60" t="s">
        <v>2</v>
      </c>
      <c r="B5" s="60"/>
      <c r="C5" s="60"/>
      <c r="D5" s="60"/>
      <c r="E5" s="60"/>
      <c r="F5" s="60"/>
      <c r="G5" s="60"/>
    </row>
    <row r="6" spans="1:7" s="5" customFormat="1" ht="25.5" customHeight="1" x14ac:dyDescent="0.3">
      <c r="A6" s="61" t="s">
        <v>66</v>
      </c>
      <c r="B6" s="61"/>
      <c r="C6" s="61"/>
      <c r="D6" s="61"/>
      <c r="E6" s="61"/>
      <c r="F6" s="61"/>
      <c r="G6" s="61"/>
    </row>
    <row r="7" spans="1:7" s="5" customFormat="1" ht="25.5" customHeight="1" x14ac:dyDescent="0.3">
      <c r="A7" s="61" t="s">
        <v>119</v>
      </c>
      <c r="B7" s="61"/>
      <c r="C7" s="61"/>
      <c r="D7" s="61"/>
      <c r="E7" s="61"/>
      <c r="F7" s="61"/>
      <c r="G7" s="61"/>
    </row>
    <row r="8" spans="1:7" s="23" customFormat="1" ht="14.25" customHeight="1" x14ac:dyDescent="0.3">
      <c r="A8" s="6"/>
      <c r="B8" s="6"/>
      <c r="C8" s="6"/>
      <c r="D8" s="6"/>
      <c r="E8" s="6"/>
      <c r="F8" s="6"/>
      <c r="G8" s="6"/>
    </row>
    <row r="9" spans="1:7" s="22" customFormat="1" ht="21" customHeight="1" x14ac:dyDescent="0.3">
      <c r="A9" s="57" t="s">
        <v>121</v>
      </c>
      <c r="B9" s="57"/>
      <c r="C9" s="57"/>
      <c r="D9" s="57"/>
      <c r="F9" s="57" t="s">
        <v>64</v>
      </c>
      <c r="G9" s="57"/>
    </row>
    <row r="10" spans="1:7" s="23" customFormat="1" ht="21" customHeight="1" x14ac:dyDescent="0.3">
      <c r="A10" s="54" t="s">
        <v>122</v>
      </c>
      <c r="B10" s="54"/>
      <c r="C10" s="54"/>
      <c r="D10" s="54"/>
      <c r="F10" s="54" t="s">
        <v>128</v>
      </c>
      <c r="G10" s="54"/>
    </row>
    <row r="11" spans="1:7" s="23" customFormat="1" ht="21" customHeight="1" x14ac:dyDescent="0.3">
      <c r="A11" s="54" t="s">
        <v>129</v>
      </c>
      <c r="B11" s="54"/>
      <c r="C11" s="54"/>
      <c r="D11" s="54"/>
      <c r="F11" s="54" t="s">
        <v>130</v>
      </c>
      <c r="G11" s="54"/>
    </row>
    <row r="12" spans="1:7" s="23" customFormat="1" ht="10.5" customHeight="1" x14ac:dyDescent="0.3">
      <c r="A12" s="6"/>
      <c r="B12" s="6"/>
      <c r="C12" s="6"/>
      <c r="D12" s="6"/>
      <c r="E12" s="6"/>
      <c r="F12" s="6"/>
      <c r="G12" s="6"/>
    </row>
    <row r="13" spans="1:7" s="12" customFormat="1" ht="33.75" customHeight="1" x14ac:dyDescent="0.3">
      <c r="A13" s="55" t="s">
        <v>0</v>
      </c>
      <c r="B13" s="55" t="s">
        <v>1</v>
      </c>
      <c r="C13" s="55" t="s">
        <v>25</v>
      </c>
      <c r="D13" s="11" t="s">
        <v>67</v>
      </c>
      <c r="E13" s="11" t="s">
        <v>68</v>
      </c>
      <c r="F13" s="11" t="s">
        <v>69</v>
      </c>
      <c r="G13" s="11" t="s">
        <v>63</v>
      </c>
    </row>
    <row r="14" spans="1:7" s="12" customFormat="1" ht="18.75" customHeight="1" x14ac:dyDescent="0.3">
      <c r="A14" s="56"/>
      <c r="B14" s="56"/>
      <c r="C14" s="56"/>
      <c r="D14" s="37" t="s">
        <v>60</v>
      </c>
      <c r="E14" s="37" t="s">
        <v>61</v>
      </c>
      <c r="F14" s="37" t="s">
        <v>24</v>
      </c>
      <c r="G14" s="37" t="s">
        <v>62</v>
      </c>
    </row>
    <row r="15" spans="1:7" s="14" customFormat="1" ht="31.5" customHeight="1" x14ac:dyDescent="0.3">
      <c r="A15" s="13">
        <v>1</v>
      </c>
      <c r="B15" s="44">
        <v>2400102000</v>
      </c>
      <c r="C15" s="45" t="s">
        <v>78</v>
      </c>
      <c r="D15" s="13">
        <v>6</v>
      </c>
      <c r="E15" s="13">
        <v>11.25</v>
      </c>
      <c r="F15" s="13">
        <v>16</v>
      </c>
      <c r="G15" s="13">
        <f>IF(COUNTIF(D15:F15,"")=3,"",SUM(D15:F15))</f>
        <v>33.25</v>
      </c>
    </row>
    <row r="16" spans="1:7" s="14" customFormat="1" ht="31.5" customHeight="1" x14ac:dyDescent="0.3">
      <c r="A16" s="13">
        <v>2</v>
      </c>
      <c r="B16" s="44">
        <v>2400102001</v>
      </c>
      <c r="C16" s="45" t="s">
        <v>79</v>
      </c>
      <c r="D16" s="13">
        <v>10</v>
      </c>
      <c r="E16" s="13">
        <v>15</v>
      </c>
      <c r="F16" s="13">
        <v>20</v>
      </c>
      <c r="G16" s="13">
        <f t="shared" ref="G16:G54" si="0">IF(COUNTIF(D16:F16,"")=3,"",SUM(D16:F16))</f>
        <v>45</v>
      </c>
    </row>
    <row r="17" spans="1:7" s="14" customFormat="1" ht="31.5" customHeight="1" x14ac:dyDescent="0.3">
      <c r="A17" s="13">
        <v>3</v>
      </c>
      <c r="B17" s="44">
        <v>2400102002</v>
      </c>
      <c r="C17" s="45" t="s">
        <v>80</v>
      </c>
      <c r="D17" s="13" t="s">
        <v>131</v>
      </c>
      <c r="E17" s="13">
        <v>10.5</v>
      </c>
      <c r="F17" s="13">
        <v>14</v>
      </c>
      <c r="G17" s="13">
        <f t="shared" si="0"/>
        <v>24.5</v>
      </c>
    </row>
    <row r="18" spans="1:7" s="14" customFormat="1" ht="31.5" customHeight="1" x14ac:dyDescent="0.3">
      <c r="A18" s="13">
        <v>4</v>
      </c>
      <c r="B18" s="44">
        <v>2400102003</v>
      </c>
      <c r="C18" s="45" t="s">
        <v>81</v>
      </c>
      <c r="D18" s="13">
        <v>10</v>
      </c>
      <c r="E18" s="13">
        <v>15</v>
      </c>
      <c r="F18" s="13">
        <v>20</v>
      </c>
      <c r="G18" s="13">
        <f t="shared" si="0"/>
        <v>45</v>
      </c>
    </row>
    <row r="19" spans="1:7" s="14" customFormat="1" ht="31.5" customHeight="1" x14ac:dyDescent="0.3">
      <c r="A19" s="13">
        <v>5</v>
      </c>
      <c r="B19" s="44">
        <v>2400102004</v>
      </c>
      <c r="C19" s="45" t="s">
        <v>82</v>
      </c>
      <c r="D19" s="13">
        <v>9</v>
      </c>
      <c r="E19" s="13">
        <v>15</v>
      </c>
      <c r="F19" s="13">
        <v>19</v>
      </c>
      <c r="G19" s="13">
        <f t="shared" si="0"/>
        <v>43</v>
      </c>
    </row>
    <row r="20" spans="1:7" s="14" customFormat="1" ht="31.5" customHeight="1" x14ac:dyDescent="0.3">
      <c r="A20" s="13">
        <v>6</v>
      </c>
      <c r="B20" s="44">
        <v>2400102005</v>
      </c>
      <c r="C20" s="45" t="s">
        <v>83</v>
      </c>
      <c r="D20" s="13">
        <v>10</v>
      </c>
      <c r="E20" s="13">
        <v>15</v>
      </c>
      <c r="F20" s="13">
        <v>20</v>
      </c>
      <c r="G20" s="13">
        <f t="shared" si="0"/>
        <v>45</v>
      </c>
    </row>
    <row r="21" spans="1:7" s="14" customFormat="1" ht="31.5" customHeight="1" x14ac:dyDescent="0.3">
      <c r="A21" s="13">
        <v>7</v>
      </c>
      <c r="B21" s="44">
        <v>2400102006</v>
      </c>
      <c r="C21" s="45" t="s">
        <v>84</v>
      </c>
      <c r="D21" s="13">
        <v>10</v>
      </c>
      <c r="E21" s="13">
        <v>15</v>
      </c>
      <c r="F21" s="13">
        <v>20</v>
      </c>
      <c r="G21" s="13">
        <f t="shared" si="0"/>
        <v>45</v>
      </c>
    </row>
    <row r="22" spans="1:7" s="14" customFormat="1" ht="31.5" customHeight="1" x14ac:dyDescent="0.3">
      <c r="A22" s="13">
        <v>8</v>
      </c>
      <c r="B22" s="44">
        <v>2400102007</v>
      </c>
      <c r="C22" s="45" t="s">
        <v>85</v>
      </c>
      <c r="D22" s="13">
        <v>10</v>
      </c>
      <c r="E22" s="13">
        <v>12</v>
      </c>
      <c r="F22" s="13">
        <v>19</v>
      </c>
      <c r="G22" s="13">
        <f t="shared" si="0"/>
        <v>41</v>
      </c>
    </row>
    <row r="23" spans="1:7" s="14" customFormat="1" ht="31.5" customHeight="1" x14ac:dyDescent="0.3">
      <c r="A23" s="13">
        <v>9</v>
      </c>
      <c r="B23" s="44">
        <v>2400102008</v>
      </c>
      <c r="C23" s="45" t="s">
        <v>86</v>
      </c>
      <c r="D23" s="13">
        <v>9</v>
      </c>
      <c r="E23" s="13">
        <v>15</v>
      </c>
      <c r="F23" s="13">
        <v>18</v>
      </c>
      <c r="G23" s="13">
        <f t="shared" si="0"/>
        <v>42</v>
      </c>
    </row>
    <row r="24" spans="1:7" s="14" customFormat="1" ht="31.5" customHeight="1" x14ac:dyDescent="0.3">
      <c r="A24" s="13">
        <v>10</v>
      </c>
      <c r="B24" s="44">
        <v>2400102011</v>
      </c>
      <c r="C24" s="45" t="s">
        <v>87</v>
      </c>
      <c r="D24" s="13">
        <v>7</v>
      </c>
      <c r="E24" s="13">
        <v>12</v>
      </c>
      <c r="F24" s="13">
        <v>16</v>
      </c>
      <c r="G24" s="13">
        <f t="shared" si="0"/>
        <v>35</v>
      </c>
    </row>
    <row r="25" spans="1:7" s="14" customFormat="1" ht="31.5" customHeight="1" x14ac:dyDescent="0.3">
      <c r="A25" s="13">
        <v>11</v>
      </c>
      <c r="B25" s="44">
        <v>2400102012</v>
      </c>
      <c r="C25" s="45" t="s">
        <v>88</v>
      </c>
      <c r="D25" s="13">
        <v>10</v>
      </c>
      <c r="E25" s="13">
        <v>13.5</v>
      </c>
      <c r="F25" s="13">
        <v>20</v>
      </c>
      <c r="G25" s="13">
        <f t="shared" si="0"/>
        <v>43.5</v>
      </c>
    </row>
    <row r="26" spans="1:7" s="14" customFormat="1" ht="31.5" customHeight="1" x14ac:dyDescent="0.3">
      <c r="A26" s="13">
        <v>12</v>
      </c>
      <c r="B26" s="44">
        <v>2400102013</v>
      </c>
      <c r="C26" s="45" t="s">
        <v>89</v>
      </c>
      <c r="D26" s="13">
        <v>10</v>
      </c>
      <c r="E26" s="13">
        <v>15</v>
      </c>
      <c r="F26" s="13">
        <v>19</v>
      </c>
      <c r="G26" s="13">
        <f t="shared" si="0"/>
        <v>44</v>
      </c>
    </row>
    <row r="27" spans="1:7" s="14" customFormat="1" ht="31.5" customHeight="1" x14ac:dyDescent="0.3">
      <c r="A27" s="13">
        <v>13</v>
      </c>
      <c r="B27" s="44">
        <v>2400102014</v>
      </c>
      <c r="C27" s="45" t="s">
        <v>90</v>
      </c>
      <c r="D27" s="13">
        <v>9</v>
      </c>
      <c r="E27" s="13">
        <v>13.5</v>
      </c>
      <c r="F27" s="13">
        <v>18</v>
      </c>
      <c r="G27" s="13">
        <f t="shared" si="0"/>
        <v>40.5</v>
      </c>
    </row>
    <row r="28" spans="1:7" s="14" customFormat="1" ht="31.5" customHeight="1" x14ac:dyDescent="0.3">
      <c r="A28" s="13">
        <v>14</v>
      </c>
      <c r="B28" s="44">
        <v>2400102016</v>
      </c>
      <c r="C28" s="45" t="s">
        <v>91</v>
      </c>
      <c r="D28" s="13">
        <v>9</v>
      </c>
      <c r="E28" s="13">
        <v>15</v>
      </c>
      <c r="F28" s="13">
        <v>20</v>
      </c>
      <c r="G28" s="13">
        <f t="shared" si="0"/>
        <v>44</v>
      </c>
    </row>
    <row r="29" spans="1:7" s="14" customFormat="1" ht="31.5" customHeight="1" x14ac:dyDescent="0.3">
      <c r="A29" s="13">
        <v>15</v>
      </c>
      <c r="B29" s="44">
        <v>2400102017</v>
      </c>
      <c r="C29" s="45" t="s">
        <v>92</v>
      </c>
      <c r="D29" s="13">
        <v>9</v>
      </c>
      <c r="E29" s="13">
        <v>15</v>
      </c>
      <c r="F29" s="13">
        <v>20</v>
      </c>
      <c r="G29" s="13">
        <f t="shared" si="0"/>
        <v>44</v>
      </c>
    </row>
    <row r="30" spans="1:7" s="14" customFormat="1" ht="31.5" customHeight="1" x14ac:dyDescent="0.3">
      <c r="A30" s="13">
        <v>16</v>
      </c>
      <c r="B30" s="44">
        <v>2400102019</v>
      </c>
      <c r="C30" s="45" t="s">
        <v>93</v>
      </c>
      <c r="D30" s="13">
        <v>10</v>
      </c>
      <c r="E30" s="13">
        <v>15</v>
      </c>
      <c r="F30" s="13">
        <v>20</v>
      </c>
      <c r="G30" s="13">
        <f t="shared" si="0"/>
        <v>45</v>
      </c>
    </row>
    <row r="31" spans="1:7" s="14" customFormat="1" ht="31.5" customHeight="1" x14ac:dyDescent="0.3">
      <c r="A31" s="13">
        <v>17</v>
      </c>
      <c r="B31" s="44">
        <v>2400102021</v>
      </c>
      <c r="C31" s="45" t="s">
        <v>94</v>
      </c>
      <c r="D31" s="13">
        <v>10</v>
      </c>
      <c r="E31" s="13">
        <v>12</v>
      </c>
      <c r="F31" s="13">
        <v>16</v>
      </c>
      <c r="G31" s="13">
        <f t="shared" si="0"/>
        <v>38</v>
      </c>
    </row>
    <row r="32" spans="1:7" s="14" customFormat="1" ht="31.5" customHeight="1" x14ac:dyDescent="0.3">
      <c r="A32" s="13">
        <v>18</v>
      </c>
      <c r="B32" s="44">
        <v>2400102022</v>
      </c>
      <c r="C32" s="45" t="s">
        <v>95</v>
      </c>
      <c r="D32" s="13">
        <v>10</v>
      </c>
      <c r="E32" s="13">
        <v>14.25</v>
      </c>
      <c r="F32" s="13">
        <v>20</v>
      </c>
      <c r="G32" s="13">
        <f t="shared" si="0"/>
        <v>44.25</v>
      </c>
    </row>
    <row r="33" spans="1:7" s="14" customFormat="1" ht="31.5" customHeight="1" x14ac:dyDescent="0.3">
      <c r="A33" s="13">
        <v>19</v>
      </c>
      <c r="B33" s="44">
        <v>2400102023</v>
      </c>
      <c r="C33" s="45" t="s">
        <v>96</v>
      </c>
      <c r="D33" s="13">
        <v>9</v>
      </c>
      <c r="E33" s="13">
        <v>12</v>
      </c>
      <c r="F33" s="13">
        <v>19</v>
      </c>
      <c r="G33" s="13">
        <f t="shared" si="0"/>
        <v>40</v>
      </c>
    </row>
    <row r="34" spans="1:7" s="14" customFormat="1" ht="31.5" customHeight="1" x14ac:dyDescent="0.3">
      <c r="A34" s="13">
        <v>20</v>
      </c>
      <c r="B34" s="44">
        <v>2400102024</v>
      </c>
      <c r="C34" s="45" t="s">
        <v>97</v>
      </c>
      <c r="D34" s="13">
        <v>9</v>
      </c>
      <c r="E34" s="13">
        <v>15</v>
      </c>
      <c r="F34" s="13">
        <v>20</v>
      </c>
      <c r="G34" s="13">
        <f t="shared" si="0"/>
        <v>44</v>
      </c>
    </row>
    <row r="35" spans="1:7" s="14" customFormat="1" ht="31.5" customHeight="1" x14ac:dyDescent="0.3">
      <c r="A35" s="13">
        <v>21</v>
      </c>
      <c r="B35" s="44">
        <v>2400102025</v>
      </c>
      <c r="C35" s="45" t="s">
        <v>98</v>
      </c>
      <c r="D35" s="13">
        <v>10</v>
      </c>
      <c r="E35" s="13">
        <v>13.5</v>
      </c>
      <c r="F35" s="13">
        <v>19</v>
      </c>
      <c r="G35" s="13">
        <f t="shared" si="0"/>
        <v>42.5</v>
      </c>
    </row>
    <row r="36" spans="1:7" s="14" customFormat="1" ht="31.5" customHeight="1" x14ac:dyDescent="0.3">
      <c r="A36" s="13">
        <v>22</v>
      </c>
      <c r="B36" s="44">
        <v>2400102026</v>
      </c>
      <c r="C36" s="45" t="s">
        <v>99</v>
      </c>
      <c r="D36" s="13">
        <v>8</v>
      </c>
      <c r="E36" s="13">
        <v>15</v>
      </c>
      <c r="F36" s="13">
        <v>20</v>
      </c>
      <c r="G36" s="13">
        <f t="shared" si="0"/>
        <v>43</v>
      </c>
    </row>
    <row r="37" spans="1:7" s="14" customFormat="1" ht="31.5" customHeight="1" x14ac:dyDescent="0.3">
      <c r="A37" s="13">
        <v>23</v>
      </c>
      <c r="B37" s="44">
        <v>2400102028</v>
      </c>
      <c r="C37" s="45" t="s">
        <v>100</v>
      </c>
      <c r="D37" s="13">
        <v>10</v>
      </c>
      <c r="E37" s="13">
        <v>12.75</v>
      </c>
      <c r="F37" s="13">
        <v>17</v>
      </c>
      <c r="G37" s="13">
        <f t="shared" si="0"/>
        <v>39.75</v>
      </c>
    </row>
    <row r="38" spans="1:7" s="14" customFormat="1" ht="31.5" customHeight="1" x14ac:dyDescent="0.3">
      <c r="A38" s="13">
        <v>24</v>
      </c>
      <c r="B38" s="44">
        <v>2400102029</v>
      </c>
      <c r="C38" s="45" t="s">
        <v>101</v>
      </c>
      <c r="D38" s="13">
        <v>6</v>
      </c>
      <c r="E38" s="13">
        <v>15</v>
      </c>
      <c r="F38" s="13">
        <v>20</v>
      </c>
      <c r="G38" s="13">
        <f t="shared" si="0"/>
        <v>41</v>
      </c>
    </row>
    <row r="39" spans="1:7" s="14" customFormat="1" ht="31.5" customHeight="1" x14ac:dyDescent="0.3">
      <c r="A39" s="13">
        <v>25</v>
      </c>
      <c r="B39" s="44">
        <v>2400102031</v>
      </c>
      <c r="C39" s="45" t="s">
        <v>102</v>
      </c>
      <c r="D39" s="13">
        <v>10</v>
      </c>
      <c r="E39" s="13">
        <v>15</v>
      </c>
      <c r="F39" s="13">
        <v>20</v>
      </c>
      <c r="G39" s="13">
        <f t="shared" si="0"/>
        <v>45</v>
      </c>
    </row>
    <row r="40" spans="1:7" s="14" customFormat="1" ht="31.5" customHeight="1" x14ac:dyDescent="0.3">
      <c r="A40" s="13">
        <v>26</v>
      </c>
      <c r="B40" s="44">
        <v>2400102033</v>
      </c>
      <c r="C40" s="45" t="s">
        <v>103</v>
      </c>
      <c r="D40" s="13">
        <v>10</v>
      </c>
      <c r="E40" s="13">
        <v>12</v>
      </c>
      <c r="F40" s="13">
        <v>18</v>
      </c>
      <c r="G40" s="13">
        <f t="shared" si="0"/>
        <v>40</v>
      </c>
    </row>
    <row r="41" spans="1:7" s="14" customFormat="1" ht="31.5" customHeight="1" x14ac:dyDescent="0.3">
      <c r="A41" s="13">
        <v>27</v>
      </c>
      <c r="B41" s="44">
        <v>2400102034</v>
      </c>
      <c r="C41" s="45" t="s">
        <v>104</v>
      </c>
      <c r="D41" s="13">
        <v>10</v>
      </c>
      <c r="E41" s="13">
        <v>12</v>
      </c>
      <c r="F41" s="13">
        <v>17</v>
      </c>
      <c r="G41" s="13">
        <f t="shared" si="0"/>
        <v>39</v>
      </c>
    </row>
    <row r="42" spans="1:7" s="14" customFormat="1" ht="31.5" customHeight="1" x14ac:dyDescent="0.3">
      <c r="A42" s="13">
        <v>28</v>
      </c>
      <c r="B42" s="44">
        <v>2400102038</v>
      </c>
      <c r="C42" s="45" t="s">
        <v>105</v>
      </c>
      <c r="D42" s="13">
        <v>10</v>
      </c>
      <c r="E42" s="13">
        <v>12.75</v>
      </c>
      <c r="F42" s="13">
        <v>19</v>
      </c>
      <c r="G42" s="13">
        <f t="shared" si="0"/>
        <v>41.75</v>
      </c>
    </row>
    <row r="43" spans="1:7" s="14" customFormat="1" ht="31.5" customHeight="1" x14ac:dyDescent="0.3">
      <c r="A43" s="13">
        <v>29</v>
      </c>
      <c r="B43" s="44">
        <v>2400102039</v>
      </c>
      <c r="C43" s="45" t="s">
        <v>106</v>
      </c>
      <c r="D43" s="13">
        <v>9</v>
      </c>
      <c r="E43" s="13">
        <v>15</v>
      </c>
      <c r="F43" s="13">
        <v>20</v>
      </c>
      <c r="G43" s="13">
        <f t="shared" si="0"/>
        <v>44</v>
      </c>
    </row>
    <row r="44" spans="1:7" s="14" customFormat="1" ht="31.5" customHeight="1" x14ac:dyDescent="0.3">
      <c r="A44" s="13">
        <v>30</v>
      </c>
      <c r="B44" s="44">
        <v>2400102041</v>
      </c>
      <c r="C44" s="45" t="s">
        <v>107</v>
      </c>
      <c r="D44" s="13">
        <v>10</v>
      </c>
      <c r="E44" s="13">
        <v>15</v>
      </c>
      <c r="F44" s="13">
        <v>19</v>
      </c>
      <c r="G44" s="13">
        <f t="shared" si="0"/>
        <v>44</v>
      </c>
    </row>
    <row r="45" spans="1:7" s="14" customFormat="1" ht="31.5" customHeight="1" x14ac:dyDescent="0.3">
      <c r="A45" s="13">
        <v>31</v>
      </c>
      <c r="B45" s="44">
        <v>2400102042</v>
      </c>
      <c r="C45" s="45" t="s">
        <v>108</v>
      </c>
      <c r="D45" s="13">
        <v>10</v>
      </c>
      <c r="E45" s="13">
        <v>15</v>
      </c>
      <c r="F45" s="13">
        <v>20</v>
      </c>
      <c r="G45" s="13">
        <f t="shared" si="0"/>
        <v>45</v>
      </c>
    </row>
    <row r="46" spans="1:7" s="14" customFormat="1" ht="31.5" customHeight="1" x14ac:dyDescent="0.3">
      <c r="A46" s="13">
        <v>32</v>
      </c>
      <c r="B46" s="44">
        <v>2400102044</v>
      </c>
      <c r="C46" s="45" t="s">
        <v>109</v>
      </c>
      <c r="D46" s="13">
        <v>10</v>
      </c>
      <c r="E46" s="13">
        <v>15</v>
      </c>
      <c r="F46" s="13">
        <v>20</v>
      </c>
      <c r="G46" s="13">
        <f t="shared" si="0"/>
        <v>45</v>
      </c>
    </row>
    <row r="47" spans="1:7" s="14" customFormat="1" ht="31.5" customHeight="1" x14ac:dyDescent="0.3">
      <c r="A47" s="13">
        <v>33</v>
      </c>
      <c r="B47" s="44">
        <v>2400102046</v>
      </c>
      <c r="C47" s="45" t="s">
        <v>110</v>
      </c>
      <c r="D47" s="13">
        <v>10</v>
      </c>
      <c r="E47" s="13">
        <v>15</v>
      </c>
      <c r="F47" s="13">
        <v>18</v>
      </c>
      <c r="G47" s="13">
        <f t="shared" si="0"/>
        <v>43</v>
      </c>
    </row>
    <row r="48" spans="1:7" s="14" customFormat="1" ht="31.5" customHeight="1" x14ac:dyDescent="0.3">
      <c r="A48" s="13">
        <v>34</v>
      </c>
      <c r="B48" s="44">
        <v>2400102048</v>
      </c>
      <c r="C48" s="45" t="s">
        <v>111</v>
      </c>
      <c r="D48" s="13">
        <v>9</v>
      </c>
      <c r="E48" s="13">
        <v>14.25</v>
      </c>
      <c r="F48" s="13">
        <v>19</v>
      </c>
      <c r="G48" s="13">
        <f t="shared" si="0"/>
        <v>42.25</v>
      </c>
    </row>
    <row r="49" spans="1:7" s="14" customFormat="1" ht="31.5" customHeight="1" x14ac:dyDescent="0.3">
      <c r="A49" s="13">
        <v>35</v>
      </c>
      <c r="B49" s="44">
        <v>2400102051</v>
      </c>
      <c r="C49" s="45" t="s">
        <v>112</v>
      </c>
      <c r="D49" s="13">
        <v>10</v>
      </c>
      <c r="E49" s="13">
        <v>13.5</v>
      </c>
      <c r="F49" s="13">
        <v>19</v>
      </c>
      <c r="G49" s="13">
        <f t="shared" si="0"/>
        <v>42.5</v>
      </c>
    </row>
    <row r="50" spans="1:7" s="14" customFormat="1" ht="31.5" customHeight="1" x14ac:dyDescent="0.3">
      <c r="A50" s="13">
        <v>36</v>
      </c>
      <c r="B50" s="44">
        <v>2400102054</v>
      </c>
      <c r="C50" s="45" t="s">
        <v>113</v>
      </c>
      <c r="D50" s="13">
        <v>10</v>
      </c>
      <c r="E50" s="13">
        <v>13.5</v>
      </c>
      <c r="F50" s="13">
        <v>18</v>
      </c>
      <c r="G50" s="13">
        <f t="shared" si="0"/>
        <v>41.5</v>
      </c>
    </row>
    <row r="51" spans="1:7" s="14" customFormat="1" ht="31.5" customHeight="1" x14ac:dyDescent="0.3">
      <c r="A51" s="13">
        <v>37</v>
      </c>
      <c r="B51" s="44">
        <v>2400102057</v>
      </c>
      <c r="C51" s="45" t="s">
        <v>114</v>
      </c>
      <c r="D51" s="13">
        <v>10</v>
      </c>
      <c r="E51" s="13">
        <v>12</v>
      </c>
      <c r="F51" s="13">
        <v>17</v>
      </c>
      <c r="G51" s="13">
        <f t="shared" si="0"/>
        <v>39</v>
      </c>
    </row>
    <row r="52" spans="1:7" s="14" customFormat="1" ht="31.5" customHeight="1" x14ac:dyDescent="0.3">
      <c r="A52" s="13">
        <v>38</v>
      </c>
      <c r="B52" s="44">
        <v>2400102058</v>
      </c>
      <c r="C52" s="45" t="s">
        <v>115</v>
      </c>
      <c r="D52" s="13">
        <v>10</v>
      </c>
      <c r="E52" s="13">
        <v>13.5</v>
      </c>
      <c r="F52" s="13">
        <v>19</v>
      </c>
      <c r="G52" s="13">
        <f t="shared" si="0"/>
        <v>42.5</v>
      </c>
    </row>
    <row r="53" spans="1:7" s="14" customFormat="1" ht="31.5" customHeight="1" x14ac:dyDescent="0.3">
      <c r="A53" s="13">
        <v>39</v>
      </c>
      <c r="B53" s="44">
        <v>2400102059</v>
      </c>
      <c r="C53" s="45" t="s">
        <v>116</v>
      </c>
      <c r="D53" s="13">
        <v>9</v>
      </c>
      <c r="E53" s="13">
        <v>15</v>
      </c>
      <c r="F53" s="13">
        <v>18</v>
      </c>
      <c r="G53" s="13">
        <f t="shared" si="0"/>
        <v>42</v>
      </c>
    </row>
    <row r="54" spans="1:7" s="14" customFormat="1" ht="15.6" x14ac:dyDescent="0.3">
      <c r="A54" s="13">
        <v>40</v>
      </c>
      <c r="B54" s="44">
        <v>2400102060</v>
      </c>
      <c r="C54" s="45" t="s">
        <v>117</v>
      </c>
      <c r="D54" s="13">
        <v>10</v>
      </c>
      <c r="E54" s="42">
        <v>15</v>
      </c>
      <c r="F54" s="43">
        <v>20</v>
      </c>
      <c r="G54" s="13">
        <f t="shared" si="0"/>
        <v>45</v>
      </c>
    </row>
    <row r="55" spans="1:7" s="14" customFormat="1" ht="15.6" x14ac:dyDescent="0.3">
      <c r="D55" s="17"/>
      <c r="E55" s="18"/>
      <c r="F55" s="19"/>
    </row>
    <row r="56" spans="1:7" s="14" customFormat="1" ht="15.6" x14ac:dyDescent="0.3">
      <c r="A56" s="50" t="s">
        <v>26</v>
      </c>
      <c r="B56" s="50"/>
      <c r="C56" s="50"/>
      <c r="D56" s="50"/>
      <c r="E56" s="50"/>
      <c r="F56" s="50"/>
      <c r="G56" s="50"/>
    </row>
    <row r="57" spans="1:7" s="14" customFormat="1" ht="15.6" x14ac:dyDescent="0.3">
      <c r="A57" s="51" t="s">
        <v>22</v>
      </c>
      <c r="B57" s="51"/>
      <c r="C57" s="51"/>
      <c r="D57" s="17"/>
      <c r="E57" s="18"/>
      <c r="F57" s="19"/>
    </row>
    <row r="58" spans="1:7" s="14" customFormat="1" ht="7.5" customHeight="1" x14ac:dyDescent="0.3">
      <c r="A58" s="16"/>
      <c r="B58" s="16"/>
      <c r="D58" s="17"/>
      <c r="E58" s="18"/>
      <c r="F58" s="19"/>
    </row>
    <row r="59" spans="1:7" s="14" customFormat="1" ht="15.6" x14ac:dyDescent="0.3">
      <c r="A59" s="52" t="s">
        <v>3</v>
      </c>
      <c r="B59" s="52"/>
      <c r="D59" s="17"/>
      <c r="E59" s="18"/>
      <c r="F59" s="19"/>
    </row>
    <row r="60" spans="1:7" s="14" customFormat="1" ht="15.6" x14ac:dyDescent="0.3">
      <c r="A60" s="16"/>
      <c r="B60" s="16"/>
      <c r="D60" s="17"/>
      <c r="E60" s="18"/>
      <c r="F60" s="19"/>
    </row>
    <row r="61" spans="1:7" s="14" customFormat="1" ht="15.6" x14ac:dyDescent="0.3">
      <c r="A61" s="16"/>
      <c r="B61" s="16"/>
      <c r="D61" s="17"/>
      <c r="E61" s="18"/>
      <c r="F61" s="19"/>
    </row>
    <row r="62" spans="1:7" s="14" customFormat="1" ht="33.75" customHeight="1" x14ac:dyDescent="0.3">
      <c r="A62" s="53" t="s">
        <v>23</v>
      </c>
      <c r="B62" s="53"/>
      <c r="C62" s="53"/>
      <c r="D62" s="53"/>
      <c r="E62" s="53"/>
      <c r="F62" s="53"/>
      <c r="G62" s="53"/>
    </row>
  </sheetData>
  <mergeCells count="18">
    <mergeCell ref="A9:D9"/>
    <mergeCell ref="F9:G9"/>
    <mergeCell ref="A3:G3"/>
    <mergeCell ref="A4:G4"/>
    <mergeCell ref="A5:G5"/>
    <mergeCell ref="A6:G6"/>
    <mergeCell ref="A7:G7"/>
    <mergeCell ref="A56:G56"/>
    <mergeCell ref="A57:C57"/>
    <mergeCell ref="A59:B59"/>
    <mergeCell ref="A62:G62"/>
    <mergeCell ref="A10:D10"/>
    <mergeCell ref="F10:G10"/>
    <mergeCell ref="A11:D11"/>
    <mergeCell ref="F11:G11"/>
    <mergeCell ref="A13:A14"/>
    <mergeCell ref="B13:B14"/>
    <mergeCell ref="C13:C14"/>
  </mergeCells>
  <conditionalFormatting sqref="C15:C54">
    <cfRule type="duplicateValues" dxfId="4" priority="6" stopIfTrue="1"/>
  </conditionalFormatting>
  <pageMargins left="0.31496062992125984" right="0.23622047244094491" top="0.47244094488188981" bottom="0.39370078740157483" header="0.31496062992125984" footer="0.19685039370078741"/>
  <pageSetup paperSize="9" scale="87" fitToHeight="2" orientation="portrait" r:id="rId1"/>
  <headerFooter>
    <oddFooter>Page 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theme="4" tint="0.59999389629810485"/>
  </sheetPr>
  <dimension ref="A3:I65"/>
  <sheetViews>
    <sheetView view="pageBreakPreview" zoomScale="85" zoomScaleNormal="100" zoomScaleSheetLayoutView="85" workbookViewId="0">
      <selection activeCell="D8" sqref="D8"/>
    </sheetView>
  </sheetViews>
  <sheetFormatPr defaultColWidth="9.109375" defaultRowHeight="14.4" x14ac:dyDescent="0.3"/>
  <cols>
    <col min="1" max="1" width="5.109375" style="4" customWidth="1"/>
    <col min="2" max="2" width="16.44140625" style="4" customWidth="1"/>
    <col min="3" max="3" width="34.109375" style="4" customWidth="1"/>
    <col min="4" max="6" width="16.88671875" customWidth="1"/>
    <col min="7" max="7" width="15.88671875" style="1" customWidth="1"/>
    <col min="8" max="8" width="14.33203125" style="2" customWidth="1"/>
    <col min="9" max="9" width="12.44140625" customWidth="1"/>
  </cols>
  <sheetData>
    <row r="3" spans="1:9" s="5" customFormat="1" ht="15" customHeight="1" x14ac:dyDescent="0.3">
      <c r="A3" s="58"/>
      <c r="B3" s="58"/>
      <c r="C3" s="58"/>
      <c r="D3" s="58"/>
      <c r="E3" s="58"/>
      <c r="F3" s="58"/>
      <c r="G3" s="58"/>
      <c r="H3" s="58"/>
    </row>
    <row r="4" spans="1:9" s="5" customFormat="1" ht="50.25" customHeight="1" thickBot="1" x14ac:dyDescent="0.35">
      <c r="A4" s="65" t="s">
        <v>13</v>
      </c>
      <c r="B4" s="65"/>
      <c r="C4" s="65"/>
      <c r="D4" s="65"/>
      <c r="E4" s="65"/>
      <c r="F4" s="65"/>
      <c r="G4" s="65"/>
      <c r="H4" s="65"/>
      <c r="I4" s="65"/>
    </row>
    <row r="5" spans="1:9" s="5" customFormat="1" ht="6.75" customHeight="1" x14ac:dyDescent="0.3">
      <c r="A5" s="58" t="s">
        <v>2</v>
      </c>
      <c r="B5" s="58"/>
      <c r="C5" s="58"/>
      <c r="D5" s="58"/>
      <c r="E5" s="58"/>
      <c r="F5" s="58"/>
      <c r="G5" s="58"/>
      <c r="H5" s="58"/>
    </row>
    <row r="6" spans="1:9" s="5" customFormat="1" ht="25.5" customHeight="1" x14ac:dyDescent="0.3">
      <c r="A6" s="61" t="s">
        <v>32</v>
      </c>
      <c r="B6" s="61"/>
      <c r="C6" s="61"/>
      <c r="D6" s="61"/>
      <c r="E6" s="61"/>
      <c r="F6" s="61"/>
      <c r="G6" s="61"/>
      <c r="H6" s="61"/>
      <c r="I6" s="61"/>
    </row>
    <row r="7" spans="1:9" s="5" customFormat="1" ht="23.25" customHeight="1" x14ac:dyDescent="0.3">
      <c r="A7" s="61" t="s">
        <v>65</v>
      </c>
      <c r="B7" s="61"/>
      <c r="C7" s="61"/>
      <c r="D7" s="61"/>
      <c r="E7" s="61"/>
      <c r="F7" s="61"/>
      <c r="G7" s="61"/>
      <c r="H7" s="61"/>
      <c r="I7" s="61"/>
    </row>
    <row r="8" spans="1:9" s="23" customFormat="1" ht="14.25" customHeight="1" x14ac:dyDescent="0.3">
      <c r="A8" s="6"/>
      <c r="B8" s="6"/>
      <c r="C8" s="6"/>
      <c r="D8" s="6"/>
      <c r="E8" s="6"/>
      <c r="F8" s="6"/>
      <c r="G8" s="6"/>
      <c r="H8" s="6"/>
    </row>
    <row r="9" spans="1:9" s="22" customFormat="1" ht="21" customHeight="1" x14ac:dyDescent="0.3">
      <c r="A9" s="57" t="s">
        <v>121</v>
      </c>
      <c r="B9" s="57"/>
      <c r="C9" s="57"/>
      <c r="G9" s="64" t="s">
        <v>4</v>
      </c>
      <c r="H9" s="64"/>
      <c r="I9" s="64"/>
    </row>
    <row r="10" spans="1:9" s="23" customFormat="1" ht="21" customHeight="1" x14ac:dyDescent="0.3">
      <c r="A10" s="54" t="s">
        <v>5</v>
      </c>
      <c r="B10" s="54"/>
      <c r="C10" s="54"/>
      <c r="G10" s="54" t="s">
        <v>20</v>
      </c>
      <c r="H10" s="54"/>
      <c r="I10" s="54"/>
    </row>
    <row r="11" spans="1:9" s="23" customFormat="1" ht="21" customHeight="1" x14ac:dyDescent="0.3">
      <c r="A11" s="54" t="s">
        <v>6</v>
      </c>
      <c r="B11" s="54"/>
      <c r="C11" s="54"/>
      <c r="G11" s="64" t="s">
        <v>19</v>
      </c>
      <c r="H11" s="64"/>
      <c r="I11" s="64"/>
    </row>
    <row r="12" spans="1:9" s="23" customFormat="1" ht="6.75" customHeight="1" x14ac:dyDescent="0.3">
      <c r="A12" s="6"/>
      <c r="B12" s="6"/>
      <c r="C12" s="6"/>
      <c r="D12" s="6"/>
      <c r="E12" s="6"/>
      <c r="F12" s="6"/>
      <c r="G12" s="6"/>
      <c r="H12" s="6"/>
    </row>
    <row r="13" spans="1:9" s="12" customFormat="1" ht="24" customHeight="1" x14ac:dyDescent="0.3">
      <c r="A13" s="55" t="s">
        <v>0</v>
      </c>
      <c r="B13" s="55" t="s">
        <v>1</v>
      </c>
      <c r="C13" s="62" t="s">
        <v>25</v>
      </c>
      <c r="D13" s="66" t="s">
        <v>28</v>
      </c>
      <c r="E13" s="66" t="s">
        <v>29</v>
      </c>
      <c r="F13" s="66" t="s">
        <v>30</v>
      </c>
      <c r="G13" s="66" t="s">
        <v>31</v>
      </c>
      <c r="H13" s="11" t="s">
        <v>10</v>
      </c>
      <c r="I13" s="62" t="s">
        <v>27</v>
      </c>
    </row>
    <row r="14" spans="1:9" s="12" customFormat="1" ht="12" customHeight="1" x14ac:dyDescent="0.3">
      <c r="A14" s="56"/>
      <c r="B14" s="56"/>
      <c r="C14" s="69"/>
      <c r="D14" s="67"/>
      <c r="E14" s="67"/>
      <c r="F14" s="67"/>
      <c r="G14" s="67"/>
      <c r="H14" s="39" t="s">
        <v>56</v>
      </c>
      <c r="I14" s="69"/>
    </row>
    <row r="15" spans="1:9" s="12" customFormat="1" ht="12" customHeight="1" x14ac:dyDescent="0.3">
      <c r="A15" s="70"/>
      <c r="B15" s="70"/>
      <c r="C15" s="63"/>
      <c r="D15" s="68"/>
      <c r="E15" s="68"/>
      <c r="F15" s="68"/>
      <c r="G15" s="68"/>
      <c r="H15" s="40" t="s">
        <v>57</v>
      </c>
      <c r="I15" s="63"/>
    </row>
    <row r="16" spans="1:9" s="12" customFormat="1" ht="17.25" customHeight="1" x14ac:dyDescent="0.3">
      <c r="A16" s="11">
        <v>1</v>
      </c>
      <c r="B16" s="44">
        <v>2400102000</v>
      </c>
      <c r="C16" s="45" t="s">
        <v>78</v>
      </c>
      <c r="D16" s="46"/>
      <c r="E16" s="46"/>
      <c r="F16" s="46"/>
      <c r="G16" s="46"/>
      <c r="H16" s="47"/>
      <c r="I16" s="46"/>
    </row>
    <row r="17" spans="1:9" s="12" customFormat="1" ht="17.25" customHeight="1" x14ac:dyDescent="0.3">
      <c r="A17" s="11">
        <v>2</v>
      </c>
      <c r="B17" s="44">
        <v>2400102001</v>
      </c>
      <c r="C17" s="45" t="s">
        <v>79</v>
      </c>
      <c r="D17" s="46"/>
      <c r="E17" s="46"/>
      <c r="F17" s="46"/>
      <c r="G17" s="46"/>
      <c r="H17" s="47"/>
      <c r="I17" s="46"/>
    </row>
    <row r="18" spans="1:9" s="12" customFormat="1" ht="17.25" customHeight="1" x14ac:dyDescent="0.3">
      <c r="A18" s="11">
        <v>3</v>
      </c>
      <c r="B18" s="44">
        <v>2400102002</v>
      </c>
      <c r="C18" s="45" t="s">
        <v>80</v>
      </c>
      <c r="D18" s="46"/>
      <c r="E18" s="46"/>
      <c r="F18" s="46"/>
      <c r="G18" s="46"/>
      <c r="H18" s="47"/>
      <c r="I18" s="46"/>
    </row>
    <row r="19" spans="1:9" s="12" customFormat="1" ht="17.25" customHeight="1" x14ac:dyDescent="0.3">
      <c r="A19" s="11">
        <v>4</v>
      </c>
      <c r="B19" s="44">
        <v>2400102003</v>
      </c>
      <c r="C19" s="45" t="s">
        <v>81</v>
      </c>
      <c r="D19" s="46"/>
      <c r="E19" s="46"/>
      <c r="F19" s="46"/>
      <c r="G19" s="46"/>
      <c r="H19" s="47"/>
      <c r="I19" s="46"/>
    </row>
    <row r="20" spans="1:9" s="12" customFormat="1" ht="17.25" customHeight="1" x14ac:dyDescent="0.3">
      <c r="A20" s="11">
        <v>5</v>
      </c>
      <c r="B20" s="44">
        <v>2400102004</v>
      </c>
      <c r="C20" s="45" t="s">
        <v>82</v>
      </c>
      <c r="D20" s="46"/>
      <c r="E20" s="46"/>
      <c r="F20" s="46"/>
      <c r="G20" s="46"/>
      <c r="H20" s="47"/>
      <c r="I20" s="46"/>
    </row>
    <row r="21" spans="1:9" s="12" customFormat="1" ht="17.25" customHeight="1" x14ac:dyDescent="0.3">
      <c r="A21" s="11">
        <v>6</v>
      </c>
      <c r="B21" s="44">
        <v>2400102005</v>
      </c>
      <c r="C21" s="45" t="s">
        <v>83</v>
      </c>
      <c r="D21" s="46"/>
      <c r="E21" s="46"/>
      <c r="F21" s="46"/>
      <c r="G21" s="46"/>
      <c r="H21" s="47"/>
      <c r="I21" s="46"/>
    </row>
    <row r="22" spans="1:9" s="12" customFormat="1" ht="17.25" customHeight="1" x14ac:dyDescent="0.3">
      <c r="A22" s="11">
        <v>7</v>
      </c>
      <c r="B22" s="44">
        <v>2400102006</v>
      </c>
      <c r="C22" s="45" t="s">
        <v>84</v>
      </c>
      <c r="D22" s="46"/>
      <c r="E22" s="46"/>
      <c r="F22" s="46"/>
      <c r="G22" s="46"/>
      <c r="H22" s="47"/>
      <c r="I22" s="46"/>
    </row>
    <row r="23" spans="1:9" s="12" customFormat="1" ht="17.25" customHeight="1" x14ac:dyDescent="0.3">
      <c r="A23" s="11">
        <v>8</v>
      </c>
      <c r="B23" s="44">
        <v>2400102007</v>
      </c>
      <c r="C23" s="45" t="s">
        <v>85</v>
      </c>
      <c r="D23" s="46"/>
      <c r="E23" s="46"/>
      <c r="F23" s="46"/>
      <c r="G23" s="46"/>
      <c r="H23" s="47"/>
      <c r="I23" s="46"/>
    </row>
    <row r="24" spans="1:9" s="12" customFormat="1" ht="17.25" customHeight="1" x14ac:dyDescent="0.3">
      <c r="A24" s="11">
        <v>9</v>
      </c>
      <c r="B24" s="44">
        <v>2400102008</v>
      </c>
      <c r="C24" s="45" t="s">
        <v>86</v>
      </c>
      <c r="D24" s="46"/>
      <c r="E24" s="46"/>
      <c r="F24" s="46"/>
      <c r="G24" s="46"/>
      <c r="H24" s="47"/>
      <c r="I24" s="46"/>
    </row>
    <row r="25" spans="1:9" s="12" customFormat="1" ht="17.25" customHeight="1" x14ac:dyDescent="0.3">
      <c r="A25" s="11">
        <v>10</v>
      </c>
      <c r="B25" s="44">
        <v>2400102011</v>
      </c>
      <c r="C25" s="45" t="s">
        <v>87</v>
      </c>
      <c r="D25" s="46"/>
      <c r="E25" s="46"/>
      <c r="F25" s="46"/>
      <c r="G25" s="46"/>
      <c r="H25" s="47"/>
      <c r="I25" s="46"/>
    </row>
    <row r="26" spans="1:9" s="12" customFormat="1" ht="17.25" customHeight="1" x14ac:dyDescent="0.3">
      <c r="A26" s="11">
        <v>11</v>
      </c>
      <c r="B26" s="44">
        <v>2400102012</v>
      </c>
      <c r="C26" s="45" t="s">
        <v>88</v>
      </c>
      <c r="D26" s="46"/>
      <c r="E26" s="46"/>
      <c r="F26" s="46"/>
      <c r="G26" s="46"/>
      <c r="H26" s="47"/>
      <c r="I26" s="46"/>
    </row>
    <row r="27" spans="1:9" s="12" customFormat="1" ht="17.25" customHeight="1" x14ac:dyDescent="0.3">
      <c r="A27" s="11">
        <v>12</v>
      </c>
      <c r="B27" s="44">
        <v>2400102013</v>
      </c>
      <c r="C27" s="45" t="s">
        <v>89</v>
      </c>
      <c r="D27" s="46"/>
      <c r="E27" s="46"/>
      <c r="F27" s="46"/>
      <c r="G27" s="46"/>
      <c r="H27" s="47"/>
      <c r="I27" s="46"/>
    </row>
    <row r="28" spans="1:9" s="12" customFormat="1" ht="17.25" customHeight="1" x14ac:dyDescent="0.3">
      <c r="A28" s="11">
        <v>13</v>
      </c>
      <c r="B28" s="44">
        <v>2400102014</v>
      </c>
      <c r="C28" s="45" t="s">
        <v>90</v>
      </c>
      <c r="D28" s="46"/>
      <c r="E28" s="46"/>
      <c r="F28" s="46"/>
      <c r="G28" s="46"/>
      <c r="H28" s="47"/>
      <c r="I28" s="46"/>
    </row>
    <row r="29" spans="1:9" s="12" customFormat="1" ht="17.25" customHeight="1" x14ac:dyDescent="0.3">
      <c r="A29" s="11">
        <v>14</v>
      </c>
      <c r="B29" s="44">
        <v>2400102016</v>
      </c>
      <c r="C29" s="45" t="s">
        <v>91</v>
      </c>
      <c r="D29" s="46"/>
      <c r="E29" s="46"/>
      <c r="F29" s="46"/>
      <c r="G29" s="46"/>
      <c r="H29" s="47"/>
      <c r="I29" s="46"/>
    </row>
    <row r="30" spans="1:9" s="12" customFormat="1" ht="17.25" customHeight="1" x14ac:dyDescent="0.3">
      <c r="A30" s="11">
        <v>15</v>
      </c>
      <c r="B30" s="44">
        <v>2400102017</v>
      </c>
      <c r="C30" s="45" t="s">
        <v>92</v>
      </c>
      <c r="D30" s="46"/>
      <c r="E30" s="46"/>
      <c r="F30" s="46"/>
      <c r="G30" s="46"/>
      <c r="H30" s="47"/>
      <c r="I30" s="46"/>
    </row>
    <row r="31" spans="1:9" s="12" customFormat="1" ht="17.25" customHeight="1" x14ac:dyDescent="0.3">
      <c r="A31" s="11">
        <v>16</v>
      </c>
      <c r="B31" s="44">
        <v>2400102019</v>
      </c>
      <c r="C31" s="45" t="s">
        <v>93</v>
      </c>
      <c r="D31" s="46"/>
      <c r="E31" s="46"/>
      <c r="F31" s="46"/>
      <c r="G31" s="46"/>
      <c r="H31" s="47"/>
      <c r="I31" s="46"/>
    </row>
    <row r="32" spans="1:9" s="12" customFormat="1" ht="17.25" customHeight="1" x14ac:dyDescent="0.3">
      <c r="A32" s="11">
        <v>17</v>
      </c>
      <c r="B32" s="44">
        <v>2400102021</v>
      </c>
      <c r="C32" s="45" t="s">
        <v>94</v>
      </c>
      <c r="D32" s="46"/>
      <c r="E32" s="46"/>
      <c r="F32" s="46"/>
      <c r="G32" s="46"/>
      <c r="H32" s="47"/>
      <c r="I32" s="46"/>
    </row>
    <row r="33" spans="1:9" s="12" customFormat="1" ht="17.25" customHeight="1" x14ac:dyDescent="0.3">
      <c r="A33" s="11">
        <v>18</v>
      </c>
      <c r="B33" s="44">
        <v>2400102022</v>
      </c>
      <c r="C33" s="45" t="s">
        <v>95</v>
      </c>
      <c r="D33" s="46"/>
      <c r="E33" s="46"/>
      <c r="F33" s="46"/>
      <c r="G33" s="46"/>
      <c r="H33" s="47"/>
      <c r="I33" s="46"/>
    </row>
    <row r="34" spans="1:9" s="12" customFormat="1" ht="17.25" customHeight="1" x14ac:dyDescent="0.3">
      <c r="A34" s="11">
        <v>19</v>
      </c>
      <c r="B34" s="44">
        <v>2400102023</v>
      </c>
      <c r="C34" s="45" t="s">
        <v>96</v>
      </c>
      <c r="D34" s="46"/>
      <c r="E34" s="46"/>
      <c r="F34" s="46"/>
      <c r="G34" s="46"/>
      <c r="H34" s="47"/>
      <c r="I34" s="46"/>
    </row>
    <row r="35" spans="1:9" s="12" customFormat="1" ht="17.25" customHeight="1" x14ac:dyDescent="0.3">
      <c r="A35" s="11">
        <v>20</v>
      </c>
      <c r="B35" s="44">
        <v>2400102024</v>
      </c>
      <c r="C35" s="45" t="s">
        <v>97</v>
      </c>
      <c r="D35" s="46"/>
      <c r="E35" s="46"/>
      <c r="F35" s="46"/>
      <c r="G35" s="46"/>
      <c r="H35" s="47"/>
      <c r="I35" s="46"/>
    </row>
    <row r="36" spans="1:9" s="12" customFormat="1" ht="17.25" customHeight="1" x14ac:dyDescent="0.3">
      <c r="A36" s="11">
        <v>21</v>
      </c>
      <c r="B36" s="44">
        <v>2400102025</v>
      </c>
      <c r="C36" s="45" t="s">
        <v>98</v>
      </c>
      <c r="D36" s="46"/>
      <c r="E36" s="46"/>
      <c r="F36" s="46"/>
      <c r="G36" s="46"/>
      <c r="H36" s="47"/>
      <c r="I36" s="46"/>
    </row>
    <row r="37" spans="1:9" s="12" customFormat="1" ht="17.25" customHeight="1" x14ac:dyDescent="0.3">
      <c r="A37" s="11">
        <v>22</v>
      </c>
      <c r="B37" s="44">
        <v>2400102026</v>
      </c>
      <c r="C37" s="45" t="s">
        <v>99</v>
      </c>
      <c r="D37" s="46"/>
      <c r="E37" s="46"/>
      <c r="F37" s="46"/>
      <c r="G37" s="46"/>
      <c r="H37" s="47"/>
      <c r="I37" s="46"/>
    </row>
    <row r="38" spans="1:9" s="12" customFormat="1" ht="17.25" customHeight="1" x14ac:dyDescent="0.3">
      <c r="A38" s="11">
        <v>23</v>
      </c>
      <c r="B38" s="44">
        <v>2400102028</v>
      </c>
      <c r="C38" s="45" t="s">
        <v>100</v>
      </c>
      <c r="D38" s="46"/>
      <c r="E38" s="46"/>
      <c r="F38" s="46"/>
      <c r="G38" s="46"/>
      <c r="H38" s="47"/>
      <c r="I38" s="46"/>
    </row>
    <row r="39" spans="1:9" s="12" customFormat="1" ht="17.25" customHeight="1" x14ac:dyDescent="0.3">
      <c r="A39" s="11">
        <v>24</v>
      </c>
      <c r="B39" s="44">
        <v>2400102029</v>
      </c>
      <c r="C39" s="45" t="s">
        <v>101</v>
      </c>
      <c r="D39" s="46"/>
      <c r="E39" s="46"/>
      <c r="F39" s="46"/>
      <c r="G39" s="46"/>
      <c r="H39" s="47"/>
      <c r="I39" s="46"/>
    </row>
    <row r="40" spans="1:9" s="12" customFormat="1" ht="17.25" customHeight="1" x14ac:dyDescent="0.3">
      <c r="A40" s="11">
        <v>25</v>
      </c>
      <c r="B40" s="44">
        <v>2400102031</v>
      </c>
      <c r="C40" s="45" t="s">
        <v>102</v>
      </c>
      <c r="D40" s="46"/>
      <c r="E40" s="46"/>
      <c r="F40" s="46"/>
      <c r="G40" s="46"/>
      <c r="H40" s="47"/>
      <c r="I40" s="46"/>
    </row>
    <row r="41" spans="1:9" s="12" customFormat="1" ht="17.25" customHeight="1" x14ac:dyDescent="0.3">
      <c r="A41" s="11">
        <v>26</v>
      </c>
      <c r="B41" s="44">
        <v>2400102033</v>
      </c>
      <c r="C41" s="45" t="s">
        <v>103</v>
      </c>
      <c r="D41" s="46"/>
      <c r="E41" s="46"/>
      <c r="F41" s="46"/>
      <c r="G41" s="46"/>
      <c r="H41" s="47"/>
      <c r="I41" s="46"/>
    </row>
    <row r="42" spans="1:9" s="12" customFormat="1" ht="17.25" customHeight="1" x14ac:dyDescent="0.3">
      <c r="A42" s="11">
        <v>27</v>
      </c>
      <c r="B42" s="44">
        <v>2400102034</v>
      </c>
      <c r="C42" s="45" t="s">
        <v>104</v>
      </c>
      <c r="D42" s="46"/>
      <c r="E42" s="46"/>
      <c r="F42" s="46"/>
      <c r="G42" s="46"/>
      <c r="H42" s="47"/>
      <c r="I42" s="46"/>
    </row>
    <row r="43" spans="1:9" s="12" customFormat="1" ht="17.25" customHeight="1" x14ac:dyDescent="0.3">
      <c r="A43" s="11">
        <v>28</v>
      </c>
      <c r="B43" s="44">
        <v>2400102038</v>
      </c>
      <c r="C43" s="45" t="s">
        <v>105</v>
      </c>
      <c r="D43" s="46"/>
      <c r="E43" s="46"/>
      <c r="F43" s="46"/>
      <c r="G43" s="46"/>
      <c r="H43" s="47"/>
      <c r="I43" s="46"/>
    </row>
    <row r="44" spans="1:9" s="12" customFormat="1" ht="17.25" customHeight="1" x14ac:dyDescent="0.3">
      <c r="A44" s="11">
        <v>29</v>
      </c>
      <c r="B44" s="44">
        <v>2400102039</v>
      </c>
      <c r="C44" s="45" t="s">
        <v>106</v>
      </c>
      <c r="D44" s="46"/>
      <c r="E44" s="46"/>
      <c r="F44" s="46"/>
      <c r="G44" s="46"/>
      <c r="H44" s="47"/>
      <c r="I44" s="46"/>
    </row>
    <row r="45" spans="1:9" s="14" customFormat="1" ht="17.25" customHeight="1" x14ac:dyDescent="0.3">
      <c r="A45" s="11">
        <v>30</v>
      </c>
      <c r="B45" s="44">
        <v>2400102041</v>
      </c>
      <c r="C45" s="45" t="s">
        <v>107</v>
      </c>
      <c r="D45" s="48"/>
      <c r="E45" s="48"/>
      <c r="F45" s="48"/>
      <c r="G45" s="48"/>
      <c r="H45" s="49"/>
      <c r="I45" s="48"/>
    </row>
    <row r="46" spans="1:9" s="14" customFormat="1" ht="17.25" customHeight="1" x14ac:dyDescent="0.3">
      <c r="A46" s="11">
        <v>31</v>
      </c>
      <c r="B46" s="44">
        <v>2400102042</v>
      </c>
      <c r="C46" s="45" t="s">
        <v>108</v>
      </c>
      <c r="D46" s="48"/>
      <c r="E46" s="48"/>
      <c r="F46" s="48"/>
      <c r="G46" s="49"/>
      <c r="H46" s="49"/>
      <c r="I46" s="48"/>
    </row>
    <row r="47" spans="1:9" s="14" customFormat="1" ht="17.25" customHeight="1" x14ac:dyDescent="0.3">
      <c r="A47" s="11">
        <v>32</v>
      </c>
      <c r="B47" s="44">
        <v>2400102044</v>
      </c>
      <c r="C47" s="45" t="s">
        <v>109</v>
      </c>
      <c r="D47" s="48"/>
      <c r="E47" s="48"/>
      <c r="F47" s="48"/>
      <c r="G47" s="49"/>
      <c r="H47" s="49"/>
      <c r="I47" s="48"/>
    </row>
    <row r="48" spans="1:9" s="14" customFormat="1" ht="17.25" customHeight="1" x14ac:dyDescent="0.3">
      <c r="A48" s="11">
        <v>33</v>
      </c>
      <c r="B48" s="44">
        <v>2400102046</v>
      </c>
      <c r="C48" s="45" t="s">
        <v>110</v>
      </c>
      <c r="D48" s="48"/>
      <c r="E48" s="48"/>
      <c r="F48" s="48"/>
      <c r="G48" s="49"/>
      <c r="H48" s="49"/>
      <c r="I48" s="48"/>
    </row>
    <row r="49" spans="1:9" s="14" customFormat="1" ht="17.25" customHeight="1" x14ac:dyDescent="0.3">
      <c r="A49" s="11">
        <v>34</v>
      </c>
      <c r="B49" s="44">
        <v>2400102048</v>
      </c>
      <c r="C49" s="45" t="s">
        <v>111</v>
      </c>
      <c r="D49" s="48"/>
      <c r="E49" s="48"/>
      <c r="F49" s="48"/>
      <c r="G49" s="49"/>
      <c r="H49" s="49"/>
      <c r="I49" s="48"/>
    </row>
    <row r="50" spans="1:9" s="14" customFormat="1" ht="17.25" customHeight="1" x14ac:dyDescent="0.3">
      <c r="A50" s="11">
        <v>35</v>
      </c>
      <c r="B50" s="44">
        <v>2400102051</v>
      </c>
      <c r="C50" s="45" t="s">
        <v>112</v>
      </c>
      <c r="D50" s="48"/>
      <c r="E50" s="48"/>
      <c r="F50" s="48"/>
      <c r="G50" s="49"/>
      <c r="H50" s="49"/>
      <c r="I50" s="48"/>
    </row>
    <row r="51" spans="1:9" s="14" customFormat="1" ht="17.25" customHeight="1" x14ac:dyDescent="0.3">
      <c r="A51" s="11">
        <v>36</v>
      </c>
      <c r="B51" s="44">
        <v>2400102054</v>
      </c>
      <c r="C51" s="45" t="s">
        <v>113</v>
      </c>
      <c r="D51" s="48"/>
      <c r="E51" s="48"/>
      <c r="F51" s="48"/>
      <c r="G51" s="49"/>
      <c r="H51" s="49"/>
      <c r="I51" s="48"/>
    </row>
    <row r="52" spans="1:9" s="14" customFormat="1" ht="17.25" customHeight="1" x14ac:dyDescent="0.3">
      <c r="A52" s="11">
        <v>37</v>
      </c>
      <c r="B52" s="44">
        <v>2400102057</v>
      </c>
      <c r="C52" s="45" t="s">
        <v>114</v>
      </c>
      <c r="D52" s="48"/>
      <c r="E52" s="48"/>
      <c r="F52" s="48"/>
      <c r="G52" s="49"/>
      <c r="H52" s="49"/>
      <c r="I52" s="48"/>
    </row>
    <row r="53" spans="1:9" s="14" customFormat="1" ht="17.25" customHeight="1" x14ac:dyDescent="0.3">
      <c r="A53" s="11">
        <v>38</v>
      </c>
      <c r="B53" s="44">
        <v>2400102058</v>
      </c>
      <c r="C53" s="45" t="s">
        <v>115</v>
      </c>
      <c r="D53" s="48"/>
      <c r="E53" s="48"/>
      <c r="F53" s="48"/>
      <c r="G53" s="49"/>
      <c r="H53" s="49"/>
      <c r="I53" s="48"/>
    </row>
    <row r="54" spans="1:9" s="14" customFormat="1" ht="17.25" customHeight="1" x14ac:dyDescent="0.3">
      <c r="A54" s="11">
        <v>39</v>
      </c>
      <c r="B54" s="44">
        <v>2400102059</v>
      </c>
      <c r="C54" s="45" t="s">
        <v>116</v>
      </c>
      <c r="D54" s="48"/>
      <c r="E54" s="48"/>
      <c r="F54" s="48"/>
      <c r="G54" s="49"/>
      <c r="H54" s="49"/>
      <c r="I54" s="48"/>
    </row>
    <row r="55" spans="1:9" s="14" customFormat="1" ht="17.25" customHeight="1" x14ac:dyDescent="0.3">
      <c r="A55" s="11">
        <v>40</v>
      </c>
      <c r="B55" s="44">
        <v>2400102060</v>
      </c>
      <c r="C55" s="45" t="s">
        <v>117</v>
      </c>
      <c r="D55" s="41"/>
      <c r="E55" s="41"/>
      <c r="F55" s="41"/>
      <c r="G55" s="15"/>
      <c r="H55" s="42"/>
      <c r="I55" s="41"/>
    </row>
    <row r="56" spans="1:9" s="8" customFormat="1" ht="22.5" customHeight="1" x14ac:dyDescent="0.25">
      <c r="A56" s="20" t="s">
        <v>14</v>
      </c>
      <c r="B56" s="7"/>
      <c r="C56" s="7"/>
      <c r="G56" s="9"/>
      <c r="H56" s="10"/>
    </row>
    <row r="57" spans="1:9" s="8" customFormat="1" ht="22.5" customHeight="1" x14ac:dyDescent="0.25">
      <c r="A57" s="21" t="s">
        <v>15</v>
      </c>
      <c r="B57" s="7"/>
      <c r="C57" s="7"/>
      <c r="G57" s="9"/>
      <c r="H57" s="10"/>
    </row>
    <row r="58" spans="1:9" s="8" customFormat="1" ht="13.8" x14ac:dyDescent="0.25">
      <c r="A58" s="21" t="s">
        <v>16</v>
      </c>
      <c r="B58" s="7"/>
      <c r="C58" s="7"/>
      <c r="G58" s="9"/>
      <c r="H58" s="10"/>
    </row>
    <row r="59" spans="1:9" s="14" customFormat="1" ht="15.6" x14ac:dyDescent="0.3">
      <c r="A59" s="50" t="s">
        <v>26</v>
      </c>
      <c r="B59" s="50"/>
      <c r="C59" s="50"/>
      <c r="D59" s="50"/>
      <c r="E59" s="50"/>
      <c r="F59" s="50"/>
      <c r="G59" s="50"/>
      <c r="H59" s="50"/>
      <c r="I59" s="50"/>
    </row>
    <row r="60" spans="1:9" s="14" customFormat="1" ht="15.6" x14ac:dyDescent="0.3">
      <c r="A60" s="16"/>
      <c r="B60" s="16"/>
      <c r="C60" s="16"/>
      <c r="G60" s="17"/>
      <c r="H60" s="18"/>
    </row>
    <row r="61" spans="1:9" s="14" customFormat="1" ht="15.6" x14ac:dyDescent="0.3">
      <c r="A61" s="16"/>
      <c r="B61" s="16"/>
      <c r="C61" s="16"/>
      <c r="G61" s="17"/>
      <c r="H61" s="18"/>
    </row>
    <row r="62" spans="1:9" s="14" customFormat="1" ht="38.25" customHeight="1" x14ac:dyDescent="0.3">
      <c r="A62" s="71" t="s">
        <v>17</v>
      </c>
      <c r="B62" s="71"/>
      <c r="C62" s="71"/>
      <c r="G62" s="71" t="s">
        <v>18</v>
      </c>
      <c r="H62" s="71"/>
      <c r="I62" s="71"/>
    </row>
    <row r="63" spans="1:9" s="14" customFormat="1" ht="15.6" x14ac:dyDescent="0.3">
      <c r="A63" s="16"/>
      <c r="B63" s="16"/>
      <c r="C63" s="16"/>
      <c r="G63" s="17"/>
      <c r="H63" s="18"/>
    </row>
    <row r="64" spans="1:9" s="14" customFormat="1" ht="15.6" x14ac:dyDescent="0.3">
      <c r="A64" s="16"/>
      <c r="B64" s="16"/>
      <c r="C64" s="16"/>
      <c r="G64" s="17"/>
      <c r="H64" s="18"/>
    </row>
    <row r="65" spans="1:8" s="14" customFormat="1" ht="35.25" customHeight="1" x14ac:dyDescent="0.3">
      <c r="A65" s="53" t="s">
        <v>23</v>
      </c>
      <c r="B65" s="53"/>
      <c r="C65" s="53"/>
      <c r="D65" s="53"/>
      <c r="E65" s="53"/>
      <c r="F65" s="53"/>
      <c r="G65" s="53"/>
      <c r="H65" s="53"/>
    </row>
  </sheetData>
  <mergeCells count="23">
    <mergeCell ref="A65:H65"/>
    <mergeCell ref="D13:D15"/>
    <mergeCell ref="E13:E15"/>
    <mergeCell ref="F13:F15"/>
    <mergeCell ref="G13:G15"/>
    <mergeCell ref="A59:I59"/>
    <mergeCell ref="I13:I15"/>
    <mergeCell ref="A13:A15"/>
    <mergeCell ref="B13:B15"/>
    <mergeCell ref="C13:C15"/>
    <mergeCell ref="A62:C62"/>
    <mergeCell ref="G62:I62"/>
    <mergeCell ref="G10:I10"/>
    <mergeCell ref="G11:I11"/>
    <mergeCell ref="A3:H3"/>
    <mergeCell ref="A4:I4"/>
    <mergeCell ref="A5:H5"/>
    <mergeCell ref="A9:C9"/>
    <mergeCell ref="G9:I9"/>
    <mergeCell ref="A6:I6"/>
    <mergeCell ref="A7:I7"/>
    <mergeCell ref="A10:C10"/>
    <mergeCell ref="A11:C11"/>
  </mergeCells>
  <conditionalFormatting sqref="C16:C55">
    <cfRule type="duplicateValues" dxfId="3" priority="7" stopIfTrue="1"/>
  </conditionalFormatting>
  <pageMargins left="0.7" right="0.7" top="0.75" bottom="0.75" header="0.3" footer="0.3"/>
  <pageSetup paperSize="9" scale="56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theme="4" tint="0.59999389629810485"/>
    <pageSetUpPr fitToPage="1"/>
  </sheetPr>
  <dimension ref="A1:S64"/>
  <sheetViews>
    <sheetView view="pageBreakPreview" topLeftCell="A45" zoomScaleNormal="100" zoomScaleSheetLayoutView="100" workbookViewId="0">
      <selection activeCell="A6" sqref="A6:J6"/>
    </sheetView>
  </sheetViews>
  <sheetFormatPr defaultColWidth="9.109375" defaultRowHeight="14.4" x14ac:dyDescent="0.3"/>
  <cols>
    <col min="1" max="1" width="5.109375" style="4" customWidth="1"/>
    <col min="2" max="2" width="16.44140625" style="4" customWidth="1"/>
    <col min="3" max="3" width="33.6640625" style="4" customWidth="1"/>
    <col min="4" max="4" width="11" style="3" customWidth="1"/>
    <col min="5" max="8" width="16.88671875" customWidth="1"/>
    <col min="9" max="9" width="11.109375" customWidth="1"/>
    <col min="10" max="10" width="18.88671875" customWidth="1"/>
    <col min="11" max="15" width="16.88671875" customWidth="1"/>
    <col min="16" max="16" width="12.109375" customWidth="1"/>
    <col min="17" max="17" width="11.6640625" customWidth="1"/>
    <col min="18" max="18" width="20.88671875" customWidth="1"/>
    <col min="19" max="19" width="12.44140625" customWidth="1"/>
  </cols>
  <sheetData>
    <row r="1" spans="1:19" s="5" customFormat="1" ht="34.5" customHeight="1" x14ac:dyDescent="0.3">
      <c r="A1" s="74" t="s">
        <v>42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</row>
    <row r="2" spans="1:19" s="5" customFormat="1" ht="33.75" customHeight="1" thickBot="1" x14ac:dyDescent="0.35">
      <c r="A2" s="73" t="s">
        <v>41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</row>
    <row r="3" spans="1:19" s="5" customFormat="1" ht="6.75" customHeight="1" x14ac:dyDescent="0.3">
      <c r="A3" s="58" t="s">
        <v>2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</row>
    <row r="4" spans="1:19" s="5" customFormat="1" ht="17.399999999999999" x14ac:dyDescent="0.3">
      <c r="A4" s="61" t="s">
        <v>40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</row>
    <row r="5" spans="1:19" s="5" customFormat="1" ht="17.399999999999999" x14ac:dyDescent="0.3">
      <c r="A5" s="61" t="s">
        <v>65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</row>
    <row r="6" spans="1:19" s="22" customFormat="1" ht="21" customHeight="1" x14ac:dyDescent="0.3">
      <c r="A6" s="57" t="s">
        <v>121</v>
      </c>
      <c r="B6" s="57"/>
      <c r="C6" s="57"/>
      <c r="D6" s="57"/>
      <c r="E6" s="57"/>
      <c r="F6" s="57"/>
      <c r="G6" s="57"/>
      <c r="H6" s="57"/>
      <c r="I6" s="57"/>
      <c r="J6" s="57"/>
      <c r="P6" s="64" t="s">
        <v>39</v>
      </c>
      <c r="Q6" s="64"/>
      <c r="R6" s="64"/>
      <c r="S6" s="64"/>
    </row>
    <row r="7" spans="1:19" s="23" customFormat="1" ht="21" customHeight="1" x14ac:dyDescent="0.3">
      <c r="A7" s="54" t="s">
        <v>5</v>
      </c>
      <c r="B7" s="54"/>
      <c r="C7" s="54"/>
      <c r="D7" s="54"/>
      <c r="E7" s="54"/>
      <c r="F7" s="54"/>
      <c r="G7" s="54"/>
      <c r="H7" s="54"/>
      <c r="I7" s="54"/>
      <c r="J7" s="54"/>
      <c r="P7" s="54"/>
      <c r="Q7" s="54"/>
      <c r="R7" s="54"/>
      <c r="S7" s="54"/>
    </row>
    <row r="8" spans="1:19" s="23" customFormat="1" ht="21" customHeight="1" x14ac:dyDescent="0.3">
      <c r="A8" s="54" t="s">
        <v>6</v>
      </c>
      <c r="B8" s="54"/>
      <c r="C8" s="54"/>
      <c r="D8" s="54"/>
      <c r="E8" s="54"/>
      <c r="F8" s="54"/>
      <c r="G8" s="54"/>
      <c r="H8" s="54"/>
      <c r="I8" s="54"/>
      <c r="J8" s="54"/>
      <c r="P8" s="54"/>
      <c r="Q8" s="54"/>
      <c r="R8" s="54"/>
      <c r="S8" s="54"/>
    </row>
    <row r="9" spans="1:19" s="23" customFormat="1" ht="6.75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9" s="12" customFormat="1" ht="40.5" customHeight="1" x14ac:dyDescent="0.3">
      <c r="A10" s="72" t="s">
        <v>0</v>
      </c>
      <c r="B10" s="72" t="s">
        <v>1</v>
      </c>
      <c r="C10" s="72" t="s">
        <v>25</v>
      </c>
      <c r="D10" s="72" t="s">
        <v>48</v>
      </c>
      <c r="E10" s="72" t="s">
        <v>45</v>
      </c>
      <c r="F10" s="72"/>
      <c r="G10" s="72"/>
      <c r="H10" s="72"/>
      <c r="I10" s="55" t="s">
        <v>47</v>
      </c>
      <c r="J10" s="72" t="s">
        <v>46</v>
      </c>
      <c r="K10" s="72"/>
      <c r="L10" s="72"/>
      <c r="M10" s="72"/>
      <c r="N10" s="72"/>
      <c r="O10" s="72"/>
      <c r="P10" s="55" t="s">
        <v>47</v>
      </c>
      <c r="Q10" s="55" t="s">
        <v>44</v>
      </c>
      <c r="R10" s="11" t="s">
        <v>59</v>
      </c>
      <c r="S10" s="72" t="s">
        <v>27</v>
      </c>
    </row>
    <row r="11" spans="1:19" s="12" customFormat="1" ht="46.8" x14ac:dyDescent="0.3">
      <c r="A11" s="72"/>
      <c r="B11" s="72"/>
      <c r="C11" s="72"/>
      <c r="D11" s="72"/>
      <c r="E11" s="11" t="s">
        <v>33</v>
      </c>
      <c r="F11" s="11" t="s">
        <v>51</v>
      </c>
      <c r="G11" s="11" t="s">
        <v>52</v>
      </c>
      <c r="H11" s="11" t="s">
        <v>53</v>
      </c>
      <c r="I11" s="70"/>
      <c r="J11" s="11" t="s">
        <v>54</v>
      </c>
      <c r="K11" s="11" t="s">
        <v>34</v>
      </c>
      <c r="L11" s="11" t="s">
        <v>35</v>
      </c>
      <c r="M11" s="11" t="s">
        <v>36</v>
      </c>
      <c r="N11" s="11" t="s">
        <v>37</v>
      </c>
      <c r="O11" s="11" t="s">
        <v>55</v>
      </c>
      <c r="P11" s="70"/>
      <c r="Q11" s="70"/>
      <c r="R11" s="11"/>
      <c r="S11" s="72"/>
    </row>
    <row r="12" spans="1:19" s="12" customFormat="1" ht="15.6" x14ac:dyDescent="0.3">
      <c r="A12" s="72"/>
      <c r="B12" s="72"/>
      <c r="C12" s="72"/>
      <c r="D12" s="72"/>
      <c r="E12" s="28">
        <v>0.2</v>
      </c>
      <c r="F12" s="28">
        <v>0.2</v>
      </c>
      <c r="G12" s="28">
        <v>0.2</v>
      </c>
      <c r="H12" s="28">
        <v>0.4</v>
      </c>
      <c r="I12" s="28">
        <v>1</v>
      </c>
      <c r="J12" s="28">
        <v>0.15</v>
      </c>
      <c r="K12" s="28">
        <v>0.2</v>
      </c>
      <c r="L12" s="28">
        <v>0.3</v>
      </c>
      <c r="M12" s="28">
        <v>0.15</v>
      </c>
      <c r="N12" s="28">
        <v>0.1</v>
      </c>
      <c r="O12" s="28">
        <v>0.1</v>
      </c>
      <c r="P12" s="28">
        <v>1</v>
      </c>
      <c r="Q12" s="29" t="s">
        <v>49</v>
      </c>
      <c r="R12" s="29">
        <v>15</v>
      </c>
      <c r="S12" s="72"/>
    </row>
    <row r="13" spans="1:19" s="12" customFormat="1" ht="22.8" x14ac:dyDescent="0.3">
      <c r="A13" s="11"/>
      <c r="B13" s="11"/>
      <c r="C13" s="30" t="s">
        <v>38</v>
      </c>
      <c r="D13" s="16" t="s">
        <v>50</v>
      </c>
      <c r="E13" s="31">
        <v>10</v>
      </c>
      <c r="F13" s="31">
        <v>10</v>
      </c>
      <c r="G13" s="31">
        <v>10</v>
      </c>
      <c r="H13" s="31">
        <v>20</v>
      </c>
      <c r="I13" s="31">
        <f>E13+F13+G13+H13</f>
        <v>50</v>
      </c>
      <c r="J13" s="32">
        <v>7.5</v>
      </c>
      <c r="K13" s="31">
        <v>10</v>
      </c>
      <c r="L13" s="31">
        <v>15</v>
      </c>
      <c r="M13" s="32">
        <v>7.5</v>
      </c>
      <c r="N13" s="31">
        <v>5</v>
      </c>
      <c r="O13" s="31">
        <v>5</v>
      </c>
      <c r="P13" s="31">
        <f>SUM(J13:O13)</f>
        <v>50</v>
      </c>
      <c r="Q13" s="31">
        <f>SUM(I13,P13)</f>
        <v>100</v>
      </c>
      <c r="R13" s="33">
        <f>ROUND((15*Q13)/100,2)</f>
        <v>15</v>
      </c>
      <c r="S13" s="11" t="s">
        <v>43</v>
      </c>
    </row>
    <row r="14" spans="1:19" s="14" customFormat="1" ht="21" customHeight="1" x14ac:dyDescent="0.3">
      <c r="A14" s="13">
        <v>1</v>
      </c>
      <c r="B14" s="44">
        <v>2400102000</v>
      </c>
      <c r="C14" s="45" t="s">
        <v>78</v>
      </c>
      <c r="D14" s="13"/>
      <c r="E14" s="13"/>
      <c r="F14" s="13"/>
      <c r="G14" s="13"/>
      <c r="H14" s="13"/>
      <c r="I14" s="34">
        <f>SUM(E14:H14)</f>
        <v>0</v>
      </c>
      <c r="J14" s="13"/>
      <c r="K14" s="13"/>
      <c r="L14" s="13"/>
      <c r="M14" s="13"/>
      <c r="N14" s="13"/>
      <c r="O14" s="13"/>
      <c r="P14" s="34">
        <f>SUM(J14:O14)</f>
        <v>0</v>
      </c>
      <c r="Q14" s="34">
        <f>SUM(I14,P14)</f>
        <v>0</v>
      </c>
      <c r="R14" s="35">
        <f>ROUND((15*Q14)/100,2)</f>
        <v>0</v>
      </c>
      <c r="S14" s="13"/>
    </row>
    <row r="15" spans="1:19" s="14" customFormat="1" ht="21" customHeight="1" x14ac:dyDescent="0.3">
      <c r="A15" s="13">
        <v>2</v>
      </c>
      <c r="B15" s="44">
        <v>2400102001</v>
      </c>
      <c r="C15" s="45" t="s">
        <v>79</v>
      </c>
      <c r="D15" s="13"/>
      <c r="E15" s="13"/>
      <c r="F15" s="13"/>
      <c r="G15" s="13"/>
      <c r="H15" s="13"/>
      <c r="I15" s="34">
        <f t="shared" ref="I15:I49" si="0">SUM(E15:H15)</f>
        <v>0</v>
      </c>
      <c r="J15" s="13"/>
      <c r="K15" s="13"/>
      <c r="L15" s="13"/>
      <c r="M15" s="13"/>
      <c r="N15" s="13"/>
      <c r="O15" s="13"/>
      <c r="P15" s="34">
        <f t="shared" ref="P15:P49" si="1">SUM(J15:O15)</f>
        <v>0</v>
      </c>
      <c r="Q15" s="34">
        <f t="shared" ref="Q15:Q49" si="2">SUM(I15,P15)</f>
        <v>0</v>
      </c>
      <c r="R15" s="35">
        <f t="shared" ref="R15:R49" si="3">ROUND((15*Q15)/100,2)</f>
        <v>0</v>
      </c>
      <c r="S15" s="13"/>
    </row>
    <row r="16" spans="1:19" s="14" customFormat="1" ht="21" customHeight="1" x14ac:dyDescent="0.3">
      <c r="A16" s="13">
        <v>3</v>
      </c>
      <c r="B16" s="44">
        <v>2400102002</v>
      </c>
      <c r="C16" s="45" t="s">
        <v>80</v>
      </c>
      <c r="D16" s="13"/>
      <c r="E16" s="13"/>
      <c r="F16" s="13"/>
      <c r="G16" s="13"/>
      <c r="H16" s="13"/>
      <c r="I16" s="34">
        <f t="shared" si="0"/>
        <v>0</v>
      </c>
      <c r="J16" s="13"/>
      <c r="K16" s="13"/>
      <c r="L16" s="13"/>
      <c r="M16" s="13"/>
      <c r="N16" s="13"/>
      <c r="O16" s="13"/>
      <c r="P16" s="34">
        <f t="shared" si="1"/>
        <v>0</v>
      </c>
      <c r="Q16" s="34">
        <f t="shared" si="2"/>
        <v>0</v>
      </c>
      <c r="R16" s="35">
        <f t="shared" si="3"/>
        <v>0</v>
      </c>
      <c r="S16" s="13"/>
    </row>
    <row r="17" spans="1:19" s="14" customFormat="1" ht="21" customHeight="1" x14ac:dyDescent="0.3">
      <c r="A17" s="13">
        <v>4</v>
      </c>
      <c r="B17" s="44">
        <v>2400102003</v>
      </c>
      <c r="C17" s="45" t="s">
        <v>81</v>
      </c>
      <c r="D17" s="13"/>
      <c r="E17" s="13"/>
      <c r="F17" s="13"/>
      <c r="G17" s="13"/>
      <c r="H17" s="13"/>
      <c r="I17" s="34">
        <f t="shared" si="0"/>
        <v>0</v>
      </c>
      <c r="J17" s="13"/>
      <c r="K17" s="13"/>
      <c r="L17" s="13"/>
      <c r="M17" s="13"/>
      <c r="N17" s="13"/>
      <c r="O17" s="13"/>
      <c r="P17" s="34">
        <f t="shared" si="1"/>
        <v>0</v>
      </c>
      <c r="Q17" s="34">
        <f t="shared" si="2"/>
        <v>0</v>
      </c>
      <c r="R17" s="35">
        <f t="shared" si="3"/>
        <v>0</v>
      </c>
      <c r="S17" s="13"/>
    </row>
    <row r="18" spans="1:19" s="14" customFormat="1" ht="21" customHeight="1" x14ac:dyDescent="0.3">
      <c r="A18" s="13">
        <v>5</v>
      </c>
      <c r="B18" s="44">
        <v>2400102004</v>
      </c>
      <c r="C18" s="45" t="s">
        <v>82</v>
      </c>
      <c r="D18" s="13"/>
      <c r="E18" s="13"/>
      <c r="F18" s="13"/>
      <c r="G18" s="13"/>
      <c r="H18" s="13"/>
      <c r="I18" s="34">
        <f t="shared" si="0"/>
        <v>0</v>
      </c>
      <c r="J18" s="13"/>
      <c r="K18" s="13"/>
      <c r="L18" s="13"/>
      <c r="M18" s="13"/>
      <c r="N18" s="13"/>
      <c r="O18" s="13"/>
      <c r="P18" s="34">
        <f t="shared" si="1"/>
        <v>0</v>
      </c>
      <c r="Q18" s="34">
        <f t="shared" si="2"/>
        <v>0</v>
      </c>
      <c r="R18" s="35">
        <f t="shared" si="3"/>
        <v>0</v>
      </c>
      <c r="S18" s="13"/>
    </row>
    <row r="19" spans="1:19" s="14" customFormat="1" ht="21" customHeight="1" x14ac:dyDescent="0.3">
      <c r="A19" s="13">
        <v>6</v>
      </c>
      <c r="B19" s="44">
        <v>2400102005</v>
      </c>
      <c r="C19" s="45" t="s">
        <v>83</v>
      </c>
      <c r="D19" s="13"/>
      <c r="E19" s="13"/>
      <c r="F19" s="13"/>
      <c r="G19" s="13"/>
      <c r="H19" s="13"/>
      <c r="I19" s="34">
        <f t="shared" si="0"/>
        <v>0</v>
      </c>
      <c r="J19" s="13"/>
      <c r="K19" s="13"/>
      <c r="L19" s="13"/>
      <c r="M19" s="13"/>
      <c r="N19" s="13"/>
      <c r="O19" s="13"/>
      <c r="P19" s="34">
        <f t="shared" si="1"/>
        <v>0</v>
      </c>
      <c r="Q19" s="34">
        <f t="shared" si="2"/>
        <v>0</v>
      </c>
      <c r="R19" s="35">
        <f t="shared" si="3"/>
        <v>0</v>
      </c>
      <c r="S19" s="13"/>
    </row>
    <row r="20" spans="1:19" s="14" customFormat="1" ht="21" customHeight="1" x14ac:dyDescent="0.3">
      <c r="A20" s="13">
        <v>7</v>
      </c>
      <c r="B20" s="44">
        <v>2400102006</v>
      </c>
      <c r="C20" s="45" t="s">
        <v>84</v>
      </c>
      <c r="D20" s="13"/>
      <c r="E20" s="13"/>
      <c r="F20" s="13"/>
      <c r="G20" s="13"/>
      <c r="H20" s="13"/>
      <c r="I20" s="34">
        <f t="shared" si="0"/>
        <v>0</v>
      </c>
      <c r="J20" s="13"/>
      <c r="K20" s="13"/>
      <c r="L20" s="13"/>
      <c r="M20" s="13"/>
      <c r="N20" s="13"/>
      <c r="O20" s="13"/>
      <c r="P20" s="34">
        <f t="shared" si="1"/>
        <v>0</v>
      </c>
      <c r="Q20" s="34">
        <f t="shared" si="2"/>
        <v>0</v>
      </c>
      <c r="R20" s="35">
        <f t="shared" si="3"/>
        <v>0</v>
      </c>
      <c r="S20" s="13"/>
    </row>
    <row r="21" spans="1:19" s="14" customFormat="1" ht="21" customHeight="1" x14ac:dyDescent="0.3">
      <c r="A21" s="13">
        <v>8</v>
      </c>
      <c r="B21" s="44">
        <v>2400102007</v>
      </c>
      <c r="C21" s="45" t="s">
        <v>85</v>
      </c>
      <c r="D21" s="13"/>
      <c r="E21" s="13"/>
      <c r="F21" s="13"/>
      <c r="G21" s="13"/>
      <c r="H21" s="13"/>
      <c r="I21" s="34">
        <f t="shared" si="0"/>
        <v>0</v>
      </c>
      <c r="J21" s="13"/>
      <c r="K21" s="13"/>
      <c r="L21" s="13"/>
      <c r="M21" s="13"/>
      <c r="N21" s="13"/>
      <c r="O21" s="13"/>
      <c r="P21" s="34">
        <f t="shared" si="1"/>
        <v>0</v>
      </c>
      <c r="Q21" s="34">
        <f t="shared" si="2"/>
        <v>0</v>
      </c>
      <c r="R21" s="35">
        <f t="shared" si="3"/>
        <v>0</v>
      </c>
      <c r="S21" s="13"/>
    </row>
    <row r="22" spans="1:19" s="14" customFormat="1" ht="21" customHeight="1" x14ac:dyDescent="0.3">
      <c r="A22" s="13">
        <v>9</v>
      </c>
      <c r="B22" s="44">
        <v>2400102008</v>
      </c>
      <c r="C22" s="45" t="s">
        <v>86</v>
      </c>
      <c r="D22" s="13"/>
      <c r="E22" s="13"/>
      <c r="F22" s="13"/>
      <c r="G22" s="13"/>
      <c r="H22" s="13"/>
      <c r="I22" s="34">
        <f t="shared" si="0"/>
        <v>0</v>
      </c>
      <c r="J22" s="13"/>
      <c r="K22" s="13"/>
      <c r="L22" s="13"/>
      <c r="M22" s="13"/>
      <c r="N22" s="13"/>
      <c r="O22" s="13"/>
      <c r="P22" s="34">
        <f t="shared" si="1"/>
        <v>0</v>
      </c>
      <c r="Q22" s="34">
        <f t="shared" si="2"/>
        <v>0</v>
      </c>
      <c r="R22" s="35">
        <f t="shared" si="3"/>
        <v>0</v>
      </c>
      <c r="S22" s="13"/>
    </row>
    <row r="23" spans="1:19" s="14" customFormat="1" ht="21" customHeight="1" x14ac:dyDescent="0.3">
      <c r="A23" s="13">
        <v>10</v>
      </c>
      <c r="B23" s="44">
        <v>2400102011</v>
      </c>
      <c r="C23" s="45" t="s">
        <v>87</v>
      </c>
      <c r="D23" s="13"/>
      <c r="E23" s="13"/>
      <c r="F23" s="13"/>
      <c r="G23" s="13"/>
      <c r="H23" s="13"/>
      <c r="I23" s="34">
        <f t="shared" si="0"/>
        <v>0</v>
      </c>
      <c r="J23" s="13"/>
      <c r="K23" s="13"/>
      <c r="L23" s="13"/>
      <c r="M23" s="13"/>
      <c r="N23" s="13"/>
      <c r="O23" s="13"/>
      <c r="P23" s="34">
        <f t="shared" si="1"/>
        <v>0</v>
      </c>
      <c r="Q23" s="34">
        <f t="shared" si="2"/>
        <v>0</v>
      </c>
      <c r="R23" s="35">
        <f t="shared" si="3"/>
        <v>0</v>
      </c>
      <c r="S23" s="13"/>
    </row>
    <row r="24" spans="1:19" s="14" customFormat="1" ht="21" customHeight="1" x14ac:dyDescent="0.3">
      <c r="A24" s="13">
        <v>11</v>
      </c>
      <c r="B24" s="44">
        <v>2400102012</v>
      </c>
      <c r="C24" s="45" t="s">
        <v>88</v>
      </c>
      <c r="D24" s="13"/>
      <c r="E24" s="13"/>
      <c r="F24" s="13"/>
      <c r="G24" s="13"/>
      <c r="H24" s="13"/>
      <c r="I24" s="34">
        <f t="shared" si="0"/>
        <v>0</v>
      </c>
      <c r="J24" s="13"/>
      <c r="K24" s="13"/>
      <c r="L24" s="13"/>
      <c r="M24" s="13"/>
      <c r="N24" s="13"/>
      <c r="O24" s="13"/>
      <c r="P24" s="34">
        <f t="shared" si="1"/>
        <v>0</v>
      </c>
      <c r="Q24" s="34">
        <f t="shared" si="2"/>
        <v>0</v>
      </c>
      <c r="R24" s="35">
        <f t="shared" si="3"/>
        <v>0</v>
      </c>
      <c r="S24" s="13"/>
    </row>
    <row r="25" spans="1:19" s="14" customFormat="1" ht="21" customHeight="1" x14ac:dyDescent="0.3">
      <c r="A25" s="13">
        <v>12</v>
      </c>
      <c r="B25" s="44">
        <v>2400102013</v>
      </c>
      <c r="C25" s="45" t="s">
        <v>89</v>
      </c>
      <c r="D25" s="13"/>
      <c r="E25" s="13"/>
      <c r="F25" s="13"/>
      <c r="G25" s="13"/>
      <c r="H25" s="13"/>
      <c r="I25" s="34">
        <f t="shared" si="0"/>
        <v>0</v>
      </c>
      <c r="J25" s="13"/>
      <c r="K25" s="13"/>
      <c r="L25" s="13"/>
      <c r="M25" s="13"/>
      <c r="N25" s="13"/>
      <c r="O25" s="13"/>
      <c r="P25" s="34">
        <f t="shared" si="1"/>
        <v>0</v>
      </c>
      <c r="Q25" s="34">
        <f t="shared" si="2"/>
        <v>0</v>
      </c>
      <c r="R25" s="35">
        <f t="shared" si="3"/>
        <v>0</v>
      </c>
      <c r="S25" s="13"/>
    </row>
    <row r="26" spans="1:19" s="14" customFormat="1" ht="21" customHeight="1" x14ac:dyDescent="0.3">
      <c r="A26" s="13">
        <v>13</v>
      </c>
      <c r="B26" s="44">
        <v>2400102014</v>
      </c>
      <c r="C26" s="45" t="s">
        <v>90</v>
      </c>
      <c r="D26" s="13"/>
      <c r="E26" s="13"/>
      <c r="F26" s="13"/>
      <c r="G26" s="13"/>
      <c r="H26" s="13"/>
      <c r="I26" s="34">
        <f t="shared" si="0"/>
        <v>0</v>
      </c>
      <c r="J26" s="13"/>
      <c r="K26" s="13"/>
      <c r="L26" s="13"/>
      <c r="M26" s="13"/>
      <c r="N26" s="13"/>
      <c r="O26" s="13"/>
      <c r="P26" s="34">
        <f t="shared" si="1"/>
        <v>0</v>
      </c>
      <c r="Q26" s="34">
        <f t="shared" si="2"/>
        <v>0</v>
      </c>
      <c r="R26" s="35">
        <f t="shared" si="3"/>
        <v>0</v>
      </c>
      <c r="S26" s="13"/>
    </row>
    <row r="27" spans="1:19" s="14" customFormat="1" ht="21" customHeight="1" x14ac:dyDescent="0.3">
      <c r="A27" s="13">
        <v>14</v>
      </c>
      <c r="B27" s="44">
        <v>2400102016</v>
      </c>
      <c r="C27" s="45" t="s">
        <v>91</v>
      </c>
      <c r="D27" s="13"/>
      <c r="E27" s="13"/>
      <c r="F27" s="13"/>
      <c r="G27" s="13"/>
      <c r="H27" s="13"/>
      <c r="I27" s="34">
        <f t="shared" si="0"/>
        <v>0</v>
      </c>
      <c r="J27" s="13"/>
      <c r="K27" s="13"/>
      <c r="L27" s="13"/>
      <c r="M27" s="13"/>
      <c r="N27" s="13"/>
      <c r="O27" s="13"/>
      <c r="P27" s="34">
        <f t="shared" si="1"/>
        <v>0</v>
      </c>
      <c r="Q27" s="34">
        <f t="shared" si="2"/>
        <v>0</v>
      </c>
      <c r="R27" s="35">
        <f t="shared" si="3"/>
        <v>0</v>
      </c>
      <c r="S27" s="13"/>
    </row>
    <row r="28" spans="1:19" s="14" customFormat="1" ht="21" customHeight="1" x14ac:dyDescent="0.3">
      <c r="A28" s="13">
        <v>15</v>
      </c>
      <c r="B28" s="44">
        <v>2400102017</v>
      </c>
      <c r="C28" s="45" t="s">
        <v>92</v>
      </c>
      <c r="D28" s="13"/>
      <c r="E28" s="13"/>
      <c r="F28" s="13"/>
      <c r="G28" s="13"/>
      <c r="H28" s="13"/>
      <c r="I28" s="34">
        <f t="shared" si="0"/>
        <v>0</v>
      </c>
      <c r="J28" s="13"/>
      <c r="K28" s="13"/>
      <c r="L28" s="13"/>
      <c r="M28" s="13"/>
      <c r="N28" s="13"/>
      <c r="O28" s="13"/>
      <c r="P28" s="34">
        <f t="shared" si="1"/>
        <v>0</v>
      </c>
      <c r="Q28" s="34">
        <f t="shared" si="2"/>
        <v>0</v>
      </c>
      <c r="R28" s="35">
        <f t="shared" si="3"/>
        <v>0</v>
      </c>
      <c r="S28" s="13"/>
    </row>
    <row r="29" spans="1:19" s="14" customFormat="1" ht="21" customHeight="1" x14ac:dyDescent="0.3">
      <c r="A29" s="13">
        <v>16</v>
      </c>
      <c r="B29" s="44">
        <v>2400102019</v>
      </c>
      <c r="C29" s="45" t="s">
        <v>93</v>
      </c>
      <c r="D29" s="13"/>
      <c r="E29" s="13"/>
      <c r="F29" s="13"/>
      <c r="G29" s="13"/>
      <c r="H29" s="13"/>
      <c r="I29" s="34">
        <f t="shared" si="0"/>
        <v>0</v>
      </c>
      <c r="J29" s="13"/>
      <c r="K29" s="13"/>
      <c r="L29" s="13"/>
      <c r="M29" s="13"/>
      <c r="N29" s="13"/>
      <c r="O29" s="13"/>
      <c r="P29" s="34">
        <f t="shared" si="1"/>
        <v>0</v>
      </c>
      <c r="Q29" s="34">
        <f t="shared" si="2"/>
        <v>0</v>
      </c>
      <c r="R29" s="35">
        <f t="shared" si="3"/>
        <v>0</v>
      </c>
      <c r="S29" s="13"/>
    </row>
    <row r="30" spans="1:19" s="14" customFormat="1" ht="21" customHeight="1" x14ac:dyDescent="0.3">
      <c r="A30" s="13">
        <v>17</v>
      </c>
      <c r="B30" s="44">
        <v>2400102021</v>
      </c>
      <c r="C30" s="45" t="s">
        <v>94</v>
      </c>
      <c r="D30" s="13"/>
      <c r="E30" s="13"/>
      <c r="F30" s="13"/>
      <c r="G30" s="13"/>
      <c r="H30" s="13"/>
      <c r="I30" s="34">
        <f t="shared" si="0"/>
        <v>0</v>
      </c>
      <c r="J30" s="13"/>
      <c r="K30" s="13"/>
      <c r="L30" s="13"/>
      <c r="M30" s="13"/>
      <c r="N30" s="13"/>
      <c r="O30" s="13"/>
      <c r="P30" s="34">
        <f t="shared" si="1"/>
        <v>0</v>
      </c>
      <c r="Q30" s="34">
        <f t="shared" si="2"/>
        <v>0</v>
      </c>
      <c r="R30" s="35">
        <f t="shared" si="3"/>
        <v>0</v>
      </c>
      <c r="S30" s="13"/>
    </row>
    <row r="31" spans="1:19" s="14" customFormat="1" ht="21" customHeight="1" x14ac:dyDescent="0.3">
      <c r="A31" s="13">
        <v>18</v>
      </c>
      <c r="B31" s="44">
        <v>2400102022</v>
      </c>
      <c r="C31" s="45" t="s">
        <v>95</v>
      </c>
      <c r="D31" s="13"/>
      <c r="E31" s="13"/>
      <c r="F31" s="13"/>
      <c r="G31" s="13"/>
      <c r="H31" s="13"/>
      <c r="I31" s="34">
        <f t="shared" si="0"/>
        <v>0</v>
      </c>
      <c r="J31" s="13"/>
      <c r="K31" s="13"/>
      <c r="L31" s="13"/>
      <c r="M31" s="13"/>
      <c r="N31" s="13"/>
      <c r="O31" s="13"/>
      <c r="P31" s="34">
        <f t="shared" si="1"/>
        <v>0</v>
      </c>
      <c r="Q31" s="34">
        <f t="shared" si="2"/>
        <v>0</v>
      </c>
      <c r="R31" s="35">
        <f t="shared" si="3"/>
        <v>0</v>
      </c>
      <c r="S31" s="13"/>
    </row>
    <row r="32" spans="1:19" s="14" customFormat="1" ht="21" customHeight="1" x14ac:dyDescent="0.3">
      <c r="A32" s="13">
        <v>19</v>
      </c>
      <c r="B32" s="44">
        <v>2400102023</v>
      </c>
      <c r="C32" s="45" t="s">
        <v>96</v>
      </c>
      <c r="D32" s="13"/>
      <c r="E32" s="13"/>
      <c r="F32" s="13"/>
      <c r="G32" s="13"/>
      <c r="H32" s="13"/>
      <c r="I32" s="34">
        <f t="shared" si="0"/>
        <v>0</v>
      </c>
      <c r="J32" s="13"/>
      <c r="K32" s="13"/>
      <c r="L32" s="13"/>
      <c r="M32" s="13"/>
      <c r="N32" s="13"/>
      <c r="O32" s="13"/>
      <c r="P32" s="34">
        <f t="shared" si="1"/>
        <v>0</v>
      </c>
      <c r="Q32" s="34">
        <f t="shared" si="2"/>
        <v>0</v>
      </c>
      <c r="R32" s="35">
        <f t="shared" si="3"/>
        <v>0</v>
      </c>
      <c r="S32" s="13"/>
    </row>
    <row r="33" spans="1:19" s="14" customFormat="1" ht="21" customHeight="1" x14ac:dyDescent="0.3">
      <c r="A33" s="13">
        <v>20</v>
      </c>
      <c r="B33" s="44">
        <v>2400102024</v>
      </c>
      <c r="C33" s="45" t="s">
        <v>97</v>
      </c>
      <c r="D33" s="13"/>
      <c r="E33" s="13"/>
      <c r="F33" s="13"/>
      <c r="G33" s="13"/>
      <c r="H33" s="13"/>
      <c r="I33" s="34">
        <f t="shared" si="0"/>
        <v>0</v>
      </c>
      <c r="J33" s="13"/>
      <c r="K33" s="13"/>
      <c r="L33" s="13"/>
      <c r="M33" s="13"/>
      <c r="N33" s="13"/>
      <c r="O33" s="13"/>
      <c r="P33" s="34">
        <f t="shared" si="1"/>
        <v>0</v>
      </c>
      <c r="Q33" s="34">
        <f t="shared" si="2"/>
        <v>0</v>
      </c>
      <c r="R33" s="35">
        <f t="shared" si="3"/>
        <v>0</v>
      </c>
      <c r="S33" s="13"/>
    </row>
    <row r="34" spans="1:19" s="14" customFormat="1" ht="21" customHeight="1" x14ac:dyDescent="0.3">
      <c r="A34" s="13">
        <v>21</v>
      </c>
      <c r="B34" s="44">
        <v>2400102025</v>
      </c>
      <c r="C34" s="45" t="s">
        <v>98</v>
      </c>
      <c r="D34" s="13"/>
      <c r="E34" s="13"/>
      <c r="F34" s="13"/>
      <c r="G34" s="13"/>
      <c r="H34" s="13"/>
      <c r="I34" s="34">
        <f t="shared" si="0"/>
        <v>0</v>
      </c>
      <c r="J34" s="13"/>
      <c r="K34" s="13"/>
      <c r="L34" s="13"/>
      <c r="M34" s="13"/>
      <c r="N34" s="13"/>
      <c r="O34" s="13"/>
      <c r="P34" s="34">
        <f t="shared" si="1"/>
        <v>0</v>
      </c>
      <c r="Q34" s="34">
        <f t="shared" si="2"/>
        <v>0</v>
      </c>
      <c r="R34" s="35">
        <f t="shared" si="3"/>
        <v>0</v>
      </c>
      <c r="S34" s="13"/>
    </row>
    <row r="35" spans="1:19" s="14" customFormat="1" ht="21" customHeight="1" x14ac:dyDescent="0.3">
      <c r="A35" s="13">
        <v>22</v>
      </c>
      <c r="B35" s="44">
        <v>2400102026</v>
      </c>
      <c r="C35" s="45" t="s">
        <v>99</v>
      </c>
      <c r="D35" s="13"/>
      <c r="E35" s="13"/>
      <c r="F35" s="13"/>
      <c r="G35" s="13"/>
      <c r="H35" s="13"/>
      <c r="I35" s="34">
        <f t="shared" si="0"/>
        <v>0</v>
      </c>
      <c r="J35" s="13"/>
      <c r="K35" s="13"/>
      <c r="L35" s="13"/>
      <c r="M35" s="13"/>
      <c r="N35" s="13"/>
      <c r="O35" s="13"/>
      <c r="P35" s="34">
        <f t="shared" si="1"/>
        <v>0</v>
      </c>
      <c r="Q35" s="34">
        <f t="shared" si="2"/>
        <v>0</v>
      </c>
      <c r="R35" s="35">
        <f t="shared" si="3"/>
        <v>0</v>
      </c>
      <c r="S35" s="13"/>
    </row>
    <row r="36" spans="1:19" s="14" customFormat="1" ht="21" customHeight="1" x14ac:dyDescent="0.3">
      <c r="A36" s="13">
        <v>23</v>
      </c>
      <c r="B36" s="44">
        <v>2400102028</v>
      </c>
      <c r="C36" s="45" t="s">
        <v>100</v>
      </c>
      <c r="D36" s="13"/>
      <c r="E36" s="13"/>
      <c r="F36" s="13"/>
      <c r="G36" s="13"/>
      <c r="H36" s="13"/>
      <c r="I36" s="34">
        <f t="shared" si="0"/>
        <v>0</v>
      </c>
      <c r="J36" s="13"/>
      <c r="K36" s="13"/>
      <c r="L36" s="13"/>
      <c r="M36" s="13"/>
      <c r="N36" s="13"/>
      <c r="O36" s="13"/>
      <c r="P36" s="34">
        <f t="shared" si="1"/>
        <v>0</v>
      </c>
      <c r="Q36" s="34">
        <f t="shared" si="2"/>
        <v>0</v>
      </c>
      <c r="R36" s="35">
        <f t="shared" si="3"/>
        <v>0</v>
      </c>
      <c r="S36" s="13"/>
    </row>
    <row r="37" spans="1:19" s="14" customFormat="1" ht="21" customHeight="1" x14ac:dyDescent="0.3">
      <c r="A37" s="13">
        <v>24</v>
      </c>
      <c r="B37" s="44">
        <v>2400102029</v>
      </c>
      <c r="C37" s="45" t="s">
        <v>101</v>
      </c>
      <c r="D37" s="13"/>
      <c r="E37" s="13"/>
      <c r="F37" s="13"/>
      <c r="G37" s="13"/>
      <c r="H37" s="13"/>
      <c r="I37" s="34">
        <f t="shared" si="0"/>
        <v>0</v>
      </c>
      <c r="J37" s="13"/>
      <c r="K37" s="13"/>
      <c r="L37" s="13"/>
      <c r="M37" s="13"/>
      <c r="N37" s="13"/>
      <c r="O37" s="13"/>
      <c r="P37" s="34">
        <f t="shared" si="1"/>
        <v>0</v>
      </c>
      <c r="Q37" s="34">
        <f t="shared" si="2"/>
        <v>0</v>
      </c>
      <c r="R37" s="35">
        <f t="shared" si="3"/>
        <v>0</v>
      </c>
      <c r="S37" s="13"/>
    </row>
    <row r="38" spans="1:19" s="14" customFormat="1" ht="21" customHeight="1" x14ac:dyDescent="0.3">
      <c r="A38" s="13">
        <v>25</v>
      </c>
      <c r="B38" s="44">
        <v>2400102031</v>
      </c>
      <c r="C38" s="45" t="s">
        <v>102</v>
      </c>
      <c r="D38" s="13"/>
      <c r="E38" s="13"/>
      <c r="F38" s="13"/>
      <c r="G38" s="13"/>
      <c r="H38" s="13"/>
      <c r="I38" s="34">
        <f t="shared" si="0"/>
        <v>0</v>
      </c>
      <c r="J38" s="13"/>
      <c r="K38" s="13"/>
      <c r="L38" s="13"/>
      <c r="M38" s="13"/>
      <c r="N38" s="13"/>
      <c r="O38" s="13"/>
      <c r="P38" s="34">
        <f t="shared" si="1"/>
        <v>0</v>
      </c>
      <c r="Q38" s="34">
        <f t="shared" si="2"/>
        <v>0</v>
      </c>
      <c r="R38" s="35">
        <f t="shared" si="3"/>
        <v>0</v>
      </c>
      <c r="S38" s="13"/>
    </row>
    <row r="39" spans="1:19" s="14" customFormat="1" ht="21" customHeight="1" x14ac:dyDescent="0.3">
      <c r="A39" s="13">
        <v>26</v>
      </c>
      <c r="B39" s="44">
        <v>2400102033</v>
      </c>
      <c r="C39" s="45" t="s">
        <v>103</v>
      </c>
      <c r="D39" s="13"/>
      <c r="E39" s="13"/>
      <c r="F39" s="13"/>
      <c r="G39" s="13"/>
      <c r="H39" s="13"/>
      <c r="I39" s="34">
        <f t="shared" si="0"/>
        <v>0</v>
      </c>
      <c r="J39" s="13"/>
      <c r="K39" s="13"/>
      <c r="L39" s="13"/>
      <c r="M39" s="13"/>
      <c r="N39" s="13"/>
      <c r="O39" s="13"/>
      <c r="P39" s="34">
        <f t="shared" si="1"/>
        <v>0</v>
      </c>
      <c r="Q39" s="34">
        <f t="shared" si="2"/>
        <v>0</v>
      </c>
      <c r="R39" s="35">
        <f t="shared" si="3"/>
        <v>0</v>
      </c>
      <c r="S39" s="13"/>
    </row>
    <row r="40" spans="1:19" s="14" customFormat="1" ht="21" customHeight="1" x14ac:dyDescent="0.3">
      <c r="A40" s="13">
        <v>27</v>
      </c>
      <c r="B40" s="44">
        <v>2400102034</v>
      </c>
      <c r="C40" s="45" t="s">
        <v>104</v>
      </c>
      <c r="D40" s="13"/>
      <c r="E40" s="13"/>
      <c r="F40" s="13"/>
      <c r="G40" s="13"/>
      <c r="H40" s="13"/>
      <c r="I40" s="34">
        <f t="shared" si="0"/>
        <v>0</v>
      </c>
      <c r="J40" s="13"/>
      <c r="K40" s="13"/>
      <c r="L40" s="13"/>
      <c r="M40" s="13"/>
      <c r="N40" s="13"/>
      <c r="O40" s="13"/>
      <c r="P40" s="34">
        <f t="shared" si="1"/>
        <v>0</v>
      </c>
      <c r="Q40" s="34">
        <f t="shared" si="2"/>
        <v>0</v>
      </c>
      <c r="R40" s="35">
        <f t="shared" si="3"/>
        <v>0</v>
      </c>
      <c r="S40" s="13"/>
    </row>
    <row r="41" spans="1:19" s="14" customFormat="1" ht="21" customHeight="1" x14ac:dyDescent="0.3">
      <c r="A41" s="13">
        <v>28</v>
      </c>
      <c r="B41" s="44">
        <v>2400102038</v>
      </c>
      <c r="C41" s="45" t="s">
        <v>105</v>
      </c>
      <c r="D41" s="13"/>
      <c r="E41" s="13"/>
      <c r="F41" s="13"/>
      <c r="G41" s="13"/>
      <c r="H41" s="13"/>
      <c r="I41" s="34">
        <f t="shared" si="0"/>
        <v>0</v>
      </c>
      <c r="J41" s="13"/>
      <c r="K41" s="13"/>
      <c r="L41" s="13"/>
      <c r="M41" s="13"/>
      <c r="N41" s="13"/>
      <c r="O41" s="13"/>
      <c r="P41" s="34">
        <f t="shared" si="1"/>
        <v>0</v>
      </c>
      <c r="Q41" s="34">
        <f t="shared" si="2"/>
        <v>0</v>
      </c>
      <c r="R41" s="35">
        <f t="shared" si="3"/>
        <v>0</v>
      </c>
      <c r="S41" s="13"/>
    </row>
    <row r="42" spans="1:19" s="14" customFormat="1" ht="21" customHeight="1" x14ac:dyDescent="0.3">
      <c r="A42" s="13">
        <v>29</v>
      </c>
      <c r="B42" s="44">
        <v>2400102039</v>
      </c>
      <c r="C42" s="45" t="s">
        <v>106</v>
      </c>
      <c r="D42" s="13"/>
      <c r="E42" s="13"/>
      <c r="F42" s="13"/>
      <c r="G42" s="13"/>
      <c r="H42" s="13"/>
      <c r="I42" s="34">
        <f t="shared" si="0"/>
        <v>0</v>
      </c>
      <c r="J42" s="13"/>
      <c r="K42" s="13"/>
      <c r="L42" s="13"/>
      <c r="M42" s="13"/>
      <c r="N42" s="13"/>
      <c r="O42" s="13"/>
      <c r="P42" s="34">
        <f t="shared" si="1"/>
        <v>0</v>
      </c>
      <c r="Q42" s="34">
        <f t="shared" si="2"/>
        <v>0</v>
      </c>
      <c r="R42" s="35">
        <f t="shared" si="3"/>
        <v>0</v>
      </c>
      <c r="S42" s="13"/>
    </row>
    <row r="43" spans="1:19" s="14" customFormat="1" ht="21" customHeight="1" x14ac:dyDescent="0.3">
      <c r="A43" s="13">
        <v>30</v>
      </c>
      <c r="B43" s="44">
        <v>2400102041</v>
      </c>
      <c r="C43" s="45" t="s">
        <v>107</v>
      </c>
      <c r="D43" s="13"/>
      <c r="E43" s="13"/>
      <c r="F43" s="13"/>
      <c r="G43" s="13"/>
      <c r="H43" s="13"/>
      <c r="I43" s="34">
        <f t="shared" si="0"/>
        <v>0</v>
      </c>
      <c r="J43" s="13"/>
      <c r="K43" s="13"/>
      <c r="L43" s="13"/>
      <c r="M43" s="13"/>
      <c r="N43" s="13"/>
      <c r="O43" s="13"/>
      <c r="P43" s="34">
        <f t="shared" si="1"/>
        <v>0</v>
      </c>
      <c r="Q43" s="34">
        <f t="shared" si="2"/>
        <v>0</v>
      </c>
      <c r="R43" s="35">
        <f t="shared" si="3"/>
        <v>0</v>
      </c>
      <c r="S43" s="13"/>
    </row>
    <row r="44" spans="1:19" s="14" customFormat="1" ht="21" customHeight="1" x14ac:dyDescent="0.3">
      <c r="A44" s="13">
        <v>31</v>
      </c>
      <c r="B44" s="44">
        <v>2400102042</v>
      </c>
      <c r="C44" s="45" t="s">
        <v>108</v>
      </c>
      <c r="D44" s="13"/>
      <c r="E44" s="13"/>
      <c r="F44" s="13"/>
      <c r="G44" s="13"/>
      <c r="H44" s="13"/>
      <c r="I44" s="34">
        <f t="shared" si="0"/>
        <v>0</v>
      </c>
      <c r="J44" s="13"/>
      <c r="K44" s="13"/>
      <c r="L44" s="13"/>
      <c r="M44" s="13"/>
      <c r="N44" s="13"/>
      <c r="O44" s="13"/>
      <c r="P44" s="34">
        <f t="shared" si="1"/>
        <v>0</v>
      </c>
      <c r="Q44" s="34">
        <f t="shared" si="2"/>
        <v>0</v>
      </c>
      <c r="R44" s="35">
        <f t="shared" si="3"/>
        <v>0</v>
      </c>
      <c r="S44" s="13"/>
    </row>
    <row r="45" spans="1:19" s="14" customFormat="1" ht="21" customHeight="1" x14ac:dyDescent="0.3">
      <c r="A45" s="13">
        <v>32</v>
      </c>
      <c r="B45" s="44">
        <v>2400102044</v>
      </c>
      <c r="C45" s="45" t="s">
        <v>109</v>
      </c>
      <c r="D45" s="13"/>
      <c r="E45" s="13"/>
      <c r="F45" s="13"/>
      <c r="G45" s="13"/>
      <c r="H45" s="13"/>
      <c r="I45" s="34">
        <f t="shared" si="0"/>
        <v>0</v>
      </c>
      <c r="J45" s="13"/>
      <c r="K45" s="13"/>
      <c r="L45" s="13"/>
      <c r="M45" s="13"/>
      <c r="N45" s="13"/>
      <c r="O45" s="13"/>
      <c r="P45" s="34">
        <f t="shared" si="1"/>
        <v>0</v>
      </c>
      <c r="Q45" s="34">
        <f t="shared" si="2"/>
        <v>0</v>
      </c>
      <c r="R45" s="35">
        <f t="shared" si="3"/>
        <v>0</v>
      </c>
      <c r="S45" s="13"/>
    </row>
    <row r="46" spans="1:19" s="14" customFormat="1" ht="21" customHeight="1" x14ac:dyDescent="0.3">
      <c r="A46" s="13">
        <v>33</v>
      </c>
      <c r="B46" s="44">
        <v>2400102046</v>
      </c>
      <c r="C46" s="45" t="s">
        <v>110</v>
      </c>
      <c r="D46" s="13"/>
      <c r="E46" s="13"/>
      <c r="F46" s="13"/>
      <c r="G46" s="13"/>
      <c r="H46" s="13"/>
      <c r="I46" s="34">
        <f t="shared" si="0"/>
        <v>0</v>
      </c>
      <c r="J46" s="13"/>
      <c r="K46" s="13"/>
      <c r="L46" s="13"/>
      <c r="M46" s="13"/>
      <c r="N46" s="13"/>
      <c r="O46" s="13"/>
      <c r="P46" s="34">
        <f t="shared" si="1"/>
        <v>0</v>
      </c>
      <c r="Q46" s="34">
        <f t="shared" si="2"/>
        <v>0</v>
      </c>
      <c r="R46" s="35">
        <f t="shared" si="3"/>
        <v>0</v>
      </c>
      <c r="S46" s="13"/>
    </row>
    <row r="47" spans="1:19" s="14" customFormat="1" ht="21" customHeight="1" x14ac:dyDescent="0.3">
      <c r="A47" s="13">
        <v>34</v>
      </c>
      <c r="B47" s="44">
        <v>2400102048</v>
      </c>
      <c r="C47" s="45" t="s">
        <v>111</v>
      </c>
      <c r="D47" s="13"/>
      <c r="E47" s="13"/>
      <c r="F47" s="13"/>
      <c r="G47" s="13"/>
      <c r="H47" s="13"/>
      <c r="I47" s="34">
        <f t="shared" si="0"/>
        <v>0</v>
      </c>
      <c r="J47" s="13"/>
      <c r="K47" s="13"/>
      <c r="L47" s="13"/>
      <c r="M47" s="13"/>
      <c r="N47" s="13"/>
      <c r="O47" s="13"/>
      <c r="P47" s="34">
        <f t="shared" si="1"/>
        <v>0</v>
      </c>
      <c r="Q47" s="34">
        <f t="shared" si="2"/>
        <v>0</v>
      </c>
      <c r="R47" s="35">
        <f t="shared" si="3"/>
        <v>0</v>
      </c>
      <c r="S47" s="13"/>
    </row>
    <row r="48" spans="1:19" s="14" customFormat="1" ht="21" customHeight="1" x14ac:dyDescent="0.3">
      <c r="A48" s="13">
        <v>35</v>
      </c>
      <c r="B48" s="44">
        <v>2400102051</v>
      </c>
      <c r="C48" s="45" t="s">
        <v>112</v>
      </c>
      <c r="D48" s="13"/>
      <c r="E48" s="13"/>
      <c r="F48" s="13"/>
      <c r="G48" s="13"/>
      <c r="H48" s="13"/>
      <c r="I48" s="34">
        <f t="shared" si="0"/>
        <v>0</v>
      </c>
      <c r="J48" s="13"/>
      <c r="K48" s="13"/>
      <c r="L48" s="13"/>
      <c r="M48" s="13"/>
      <c r="N48" s="13"/>
      <c r="O48" s="13"/>
      <c r="P48" s="34">
        <f t="shared" si="1"/>
        <v>0</v>
      </c>
      <c r="Q48" s="34">
        <f t="shared" si="2"/>
        <v>0</v>
      </c>
      <c r="R48" s="35">
        <f t="shared" si="3"/>
        <v>0</v>
      </c>
      <c r="S48" s="13"/>
    </row>
    <row r="49" spans="1:19" s="14" customFormat="1" ht="21" customHeight="1" x14ac:dyDescent="0.3">
      <c r="A49" s="13">
        <v>36</v>
      </c>
      <c r="B49" s="44">
        <v>2400102054</v>
      </c>
      <c r="C49" s="45" t="s">
        <v>113</v>
      </c>
      <c r="D49" s="13"/>
      <c r="E49" s="13"/>
      <c r="F49" s="13"/>
      <c r="G49" s="13"/>
      <c r="H49" s="13"/>
      <c r="I49" s="34">
        <f t="shared" si="0"/>
        <v>0</v>
      </c>
      <c r="J49" s="13"/>
      <c r="K49" s="13"/>
      <c r="L49" s="13"/>
      <c r="M49" s="13"/>
      <c r="N49" s="13"/>
      <c r="O49" s="13"/>
      <c r="P49" s="34">
        <f t="shared" si="1"/>
        <v>0</v>
      </c>
      <c r="Q49" s="34">
        <f t="shared" si="2"/>
        <v>0</v>
      </c>
      <c r="R49" s="35">
        <f t="shared" si="3"/>
        <v>0</v>
      </c>
      <c r="S49" s="13"/>
    </row>
    <row r="50" spans="1:19" s="14" customFormat="1" ht="21" customHeight="1" x14ac:dyDescent="0.3">
      <c r="A50" s="13">
        <v>37</v>
      </c>
      <c r="B50" s="44">
        <v>2400102057</v>
      </c>
      <c r="C50" s="45" t="s">
        <v>114</v>
      </c>
      <c r="D50" s="13"/>
      <c r="E50" s="13"/>
      <c r="F50" s="13"/>
      <c r="G50" s="13"/>
      <c r="H50" s="13"/>
      <c r="I50" s="34">
        <f t="shared" ref="I50:I53" si="4">SUM(E50:H50)</f>
        <v>0</v>
      </c>
      <c r="J50" s="13"/>
      <c r="K50" s="13"/>
      <c r="L50" s="13"/>
      <c r="M50" s="13"/>
      <c r="N50" s="13"/>
      <c r="O50" s="13"/>
      <c r="P50" s="34">
        <f t="shared" ref="P50:P53" si="5">SUM(J50:O50)</f>
        <v>0</v>
      </c>
      <c r="Q50" s="34">
        <f t="shared" ref="Q50:Q53" si="6">SUM(I50,P50)</f>
        <v>0</v>
      </c>
      <c r="R50" s="35">
        <f t="shared" ref="R50:R53" si="7">ROUND((15*Q50)/100,2)</f>
        <v>0</v>
      </c>
      <c r="S50" s="13"/>
    </row>
    <row r="51" spans="1:19" s="14" customFormat="1" ht="21" customHeight="1" x14ac:dyDescent="0.3">
      <c r="A51" s="13">
        <v>38</v>
      </c>
      <c r="B51" s="44">
        <v>2400102058</v>
      </c>
      <c r="C51" s="45" t="s">
        <v>115</v>
      </c>
      <c r="D51" s="13"/>
      <c r="E51" s="13"/>
      <c r="F51" s="13"/>
      <c r="G51" s="13"/>
      <c r="H51" s="13"/>
      <c r="I51" s="34">
        <f t="shared" si="4"/>
        <v>0</v>
      </c>
      <c r="J51" s="13"/>
      <c r="K51" s="13"/>
      <c r="L51" s="13"/>
      <c r="M51" s="13"/>
      <c r="N51" s="13"/>
      <c r="O51" s="13"/>
      <c r="P51" s="34">
        <f t="shared" si="5"/>
        <v>0</v>
      </c>
      <c r="Q51" s="34">
        <f t="shared" si="6"/>
        <v>0</v>
      </c>
      <c r="R51" s="35">
        <f t="shared" si="7"/>
        <v>0</v>
      </c>
      <c r="S51" s="13"/>
    </row>
    <row r="52" spans="1:19" s="14" customFormat="1" ht="21" customHeight="1" x14ac:dyDescent="0.3">
      <c r="A52" s="13">
        <v>39</v>
      </c>
      <c r="B52" s="44">
        <v>2400102059</v>
      </c>
      <c r="C52" s="45" t="s">
        <v>116</v>
      </c>
      <c r="D52" s="13"/>
      <c r="E52" s="13"/>
      <c r="F52" s="13"/>
      <c r="G52" s="13"/>
      <c r="H52" s="13"/>
      <c r="I52" s="34">
        <f t="shared" si="4"/>
        <v>0</v>
      </c>
      <c r="J52" s="13"/>
      <c r="K52" s="13"/>
      <c r="L52" s="13"/>
      <c r="M52" s="13"/>
      <c r="N52" s="13"/>
      <c r="O52" s="13"/>
      <c r="P52" s="34">
        <f t="shared" si="5"/>
        <v>0</v>
      </c>
      <c r="Q52" s="34">
        <f t="shared" si="6"/>
        <v>0</v>
      </c>
      <c r="R52" s="35">
        <f t="shared" si="7"/>
        <v>0</v>
      </c>
      <c r="S52" s="13"/>
    </row>
    <row r="53" spans="1:19" s="14" customFormat="1" ht="21" customHeight="1" x14ac:dyDescent="0.3">
      <c r="A53" s="13">
        <v>40</v>
      </c>
      <c r="B53" s="44">
        <v>2400102060</v>
      </c>
      <c r="C53" s="45" t="s">
        <v>117</v>
      </c>
      <c r="D53" s="13"/>
      <c r="E53" s="13"/>
      <c r="F53" s="13"/>
      <c r="G53" s="13"/>
      <c r="H53" s="13"/>
      <c r="I53" s="34">
        <f t="shared" si="4"/>
        <v>0</v>
      </c>
      <c r="J53" s="13"/>
      <c r="K53" s="13"/>
      <c r="L53" s="13"/>
      <c r="M53" s="13"/>
      <c r="N53" s="13"/>
      <c r="O53" s="13"/>
      <c r="P53" s="34">
        <f t="shared" si="5"/>
        <v>0</v>
      </c>
      <c r="Q53" s="34">
        <f t="shared" si="6"/>
        <v>0</v>
      </c>
      <c r="R53" s="35">
        <f t="shared" si="7"/>
        <v>0</v>
      </c>
      <c r="S53" s="13"/>
    </row>
    <row r="54" spans="1:19" s="14" customFormat="1" ht="15.6" x14ac:dyDescent="0.3">
      <c r="A54" s="16"/>
      <c r="B54" s="16"/>
      <c r="C54" s="16"/>
      <c r="D54" s="19"/>
    </row>
    <row r="55" spans="1:19" s="8" customFormat="1" ht="22.5" customHeight="1" x14ac:dyDescent="0.25">
      <c r="A55" s="20" t="s">
        <v>14</v>
      </c>
      <c r="B55" s="7"/>
      <c r="C55" s="7"/>
      <c r="D55" s="36"/>
    </row>
    <row r="56" spans="1:19" s="8" customFormat="1" ht="22.5" customHeight="1" x14ac:dyDescent="0.25">
      <c r="A56" s="21" t="s">
        <v>15</v>
      </c>
      <c r="B56" s="7"/>
      <c r="C56" s="7"/>
      <c r="D56" s="36"/>
    </row>
    <row r="57" spans="1:19" s="8" customFormat="1" ht="13.8" x14ac:dyDescent="0.25">
      <c r="A57" s="21" t="s">
        <v>16</v>
      </c>
      <c r="B57" s="7"/>
      <c r="C57" s="7"/>
      <c r="D57" s="36"/>
    </row>
    <row r="58" spans="1:19" s="14" customFormat="1" ht="18" customHeight="1" x14ac:dyDescent="0.3">
      <c r="A58" s="50" t="s">
        <v>26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</row>
    <row r="59" spans="1:19" s="14" customFormat="1" ht="15.6" x14ac:dyDescent="0.3">
      <c r="A59" s="16"/>
      <c r="B59" s="16"/>
      <c r="C59" s="16"/>
      <c r="D59" s="19"/>
    </row>
    <row r="60" spans="1:19" s="14" customFormat="1" ht="15.6" x14ac:dyDescent="0.3">
      <c r="A60" s="16"/>
      <c r="B60" s="16"/>
      <c r="C60" s="16"/>
      <c r="D60" s="19"/>
    </row>
    <row r="61" spans="1:19" s="14" customFormat="1" ht="38.25" customHeight="1" x14ac:dyDescent="0.3">
      <c r="A61" s="71" t="s">
        <v>17</v>
      </c>
      <c r="B61" s="71"/>
      <c r="C61" s="71"/>
      <c r="D61" s="19"/>
      <c r="S61" s="6"/>
    </row>
    <row r="62" spans="1:19" s="14" customFormat="1" ht="15.6" x14ac:dyDescent="0.3">
      <c r="A62" s="16"/>
      <c r="B62" s="16"/>
      <c r="C62" s="16"/>
      <c r="D62" s="19"/>
    </row>
    <row r="63" spans="1:19" s="14" customFormat="1" ht="15.6" x14ac:dyDescent="0.3">
      <c r="A63" s="16"/>
      <c r="B63" s="16"/>
      <c r="C63" s="16"/>
      <c r="D63" s="19"/>
    </row>
    <row r="64" spans="1:19" s="14" customFormat="1" ht="35.25" customHeight="1" x14ac:dyDescent="0.3">
      <c r="A64" s="53" t="s">
        <v>23</v>
      </c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</row>
  </sheetData>
  <mergeCells count="24">
    <mergeCell ref="A6:J6"/>
    <mergeCell ref="A7:J7"/>
    <mergeCell ref="A8:J8"/>
    <mergeCell ref="I10:I11"/>
    <mergeCell ref="J10:O10"/>
    <mergeCell ref="A2:S2"/>
    <mergeCell ref="A3:R3"/>
    <mergeCell ref="A4:S4"/>
    <mergeCell ref="A5:S5"/>
    <mergeCell ref="A1:S1"/>
    <mergeCell ref="P6:S6"/>
    <mergeCell ref="P7:S7"/>
    <mergeCell ref="P8:S8"/>
    <mergeCell ref="P10:P11"/>
    <mergeCell ref="Q10:Q11"/>
    <mergeCell ref="A64:R64"/>
    <mergeCell ref="E10:H10"/>
    <mergeCell ref="A58:S58"/>
    <mergeCell ref="A61:C61"/>
    <mergeCell ref="S10:S12"/>
    <mergeCell ref="A10:A12"/>
    <mergeCell ref="B10:B12"/>
    <mergeCell ref="C10:C12"/>
    <mergeCell ref="D10:D12"/>
  </mergeCells>
  <phoneticPr fontId="16" type="noConversion"/>
  <conditionalFormatting sqref="C14:C53">
    <cfRule type="duplicateValues" dxfId="2" priority="11" stopIfTrue="1"/>
  </conditionalFormatting>
  <conditionalFormatting sqref="S2:S1048576">
    <cfRule type="cellIs" dxfId="1" priority="2" operator="equal">
      <formula>"Fail"</formula>
    </cfRule>
  </conditionalFormatting>
  <dataValidations count="1">
    <dataValidation type="list" allowBlank="1" showInputMessage="1" showErrorMessage="1" sqref="S13:S53" xr:uid="{00000000-0002-0000-0500-000000000000}">
      <formula1>"Pass,Fail"</formula1>
    </dataValidation>
  </dataValidations>
  <pageMargins left="0.19685039370078741" right="0.19685039370078741" top="0.23622047244094491" bottom="0.31496062992125984" header="0.31496062992125984" footer="0.31496062992125984"/>
  <pageSetup paperSize="9" scale="47" fitToHeight="0" orientation="landscape" r:id="rId1"/>
  <headerFooter>
    <oddFooter>Page 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7030A0"/>
    <pageSetUpPr fitToPage="1"/>
  </sheetPr>
  <dimension ref="A2:F64"/>
  <sheetViews>
    <sheetView showGridLines="0" view="pageBreakPreview" topLeftCell="A47" zoomScaleNormal="100" zoomScaleSheetLayoutView="100" workbookViewId="0">
      <selection activeCell="A11" sqref="A11:C11"/>
    </sheetView>
  </sheetViews>
  <sheetFormatPr defaultColWidth="9.109375" defaultRowHeight="14.4" x14ac:dyDescent="0.3"/>
  <cols>
    <col min="1" max="1" width="5.109375" style="4" customWidth="1"/>
    <col min="2" max="2" width="16.44140625" style="4" customWidth="1"/>
    <col min="3" max="3" width="40.5546875" style="4" customWidth="1"/>
    <col min="4" max="4" width="29.44140625" style="1" customWidth="1"/>
  </cols>
  <sheetData>
    <row r="2" spans="1:4" ht="27.75" customHeight="1" x14ac:dyDescent="0.3"/>
    <row r="3" spans="1:4" s="5" customFormat="1" ht="29.25" customHeight="1" x14ac:dyDescent="0.3">
      <c r="A3" s="58"/>
      <c r="B3" s="58"/>
      <c r="C3" s="58"/>
      <c r="D3" s="58"/>
    </row>
    <row r="4" spans="1:4" s="5" customFormat="1" ht="48.75" customHeight="1" thickBot="1" x14ac:dyDescent="0.35">
      <c r="A4" s="65" t="s">
        <v>13</v>
      </c>
      <c r="B4" s="65"/>
      <c r="C4" s="65"/>
      <c r="D4" s="65"/>
    </row>
    <row r="5" spans="1:4" s="5" customFormat="1" ht="9.75" customHeight="1" x14ac:dyDescent="0.3">
      <c r="A5" s="60" t="s">
        <v>2</v>
      </c>
      <c r="B5" s="60"/>
      <c r="C5" s="60"/>
      <c r="D5" s="60"/>
    </row>
    <row r="6" spans="1:4" s="5" customFormat="1" ht="9.75" customHeight="1" x14ac:dyDescent="0.3">
      <c r="A6" s="75" t="s">
        <v>58</v>
      </c>
      <c r="B6" s="75"/>
      <c r="C6" s="75"/>
      <c r="D6" s="75"/>
    </row>
    <row r="7" spans="1:4" s="5" customFormat="1" ht="35.25" customHeight="1" x14ac:dyDescent="0.3">
      <c r="A7" s="76" t="s">
        <v>77</v>
      </c>
      <c r="B7" s="61"/>
      <c r="C7" s="61"/>
      <c r="D7" s="61"/>
    </row>
    <row r="8" spans="1:4" s="23" customFormat="1" ht="14.25" customHeight="1" x14ac:dyDescent="0.3">
      <c r="A8" s="6"/>
      <c r="B8" s="6"/>
      <c r="C8" s="6"/>
      <c r="D8" s="6"/>
    </row>
    <row r="9" spans="1:4" s="22" customFormat="1" ht="21" customHeight="1" x14ac:dyDescent="0.3">
      <c r="A9" s="57" t="s">
        <v>121</v>
      </c>
      <c r="B9" s="57"/>
      <c r="C9" s="57"/>
      <c r="D9" s="25" t="s">
        <v>4</v>
      </c>
    </row>
    <row r="10" spans="1:4" s="23" customFormat="1" ht="21" customHeight="1" x14ac:dyDescent="0.3">
      <c r="A10" s="54" t="s">
        <v>5</v>
      </c>
      <c r="B10" s="54"/>
      <c r="C10" s="54"/>
      <c r="D10" s="23" t="s">
        <v>20</v>
      </c>
    </row>
    <row r="11" spans="1:4" s="23" customFormat="1" ht="21" customHeight="1" x14ac:dyDescent="0.3">
      <c r="A11" s="54" t="s">
        <v>6</v>
      </c>
      <c r="B11" s="54"/>
      <c r="C11" s="54"/>
      <c r="D11" s="25" t="s">
        <v>19</v>
      </c>
    </row>
    <row r="12" spans="1:4" s="23" customFormat="1" ht="14.25" customHeight="1" x14ac:dyDescent="0.3">
      <c r="A12" s="6"/>
      <c r="B12" s="6"/>
      <c r="C12" s="6"/>
      <c r="D12" s="6"/>
    </row>
    <row r="13" spans="1:4" s="12" customFormat="1" ht="33.75" customHeight="1" x14ac:dyDescent="0.3">
      <c r="A13" s="24" t="s">
        <v>0</v>
      </c>
      <c r="B13" s="24" t="s">
        <v>1</v>
      </c>
      <c r="C13" s="38" t="s">
        <v>25</v>
      </c>
      <c r="D13" s="26" t="s">
        <v>21</v>
      </c>
    </row>
    <row r="14" spans="1:4" s="14" customFormat="1" ht="21" customHeight="1" x14ac:dyDescent="0.3">
      <c r="A14" s="13">
        <v>1</v>
      </c>
      <c r="B14" s="44">
        <v>2400102000</v>
      </c>
      <c r="C14" s="45" t="s">
        <v>78</v>
      </c>
      <c r="D14" s="13"/>
    </row>
    <row r="15" spans="1:4" s="14" customFormat="1" ht="21" customHeight="1" x14ac:dyDescent="0.3">
      <c r="A15" s="13">
        <v>2</v>
      </c>
      <c r="B15" s="44">
        <v>2400102001</v>
      </c>
      <c r="C15" s="45" t="s">
        <v>79</v>
      </c>
      <c r="D15" s="13"/>
    </row>
    <row r="16" spans="1:4" s="14" customFormat="1" ht="21" customHeight="1" x14ac:dyDescent="0.3">
      <c r="A16" s="13">
        <v>3</v>
      </c>
      <c r="B16" s="44">
        <v>2400102002</v>
      </c>
      <c r="C16" s="45" t="s">
        <v>80</v>
      </c>
      <c r="D16" s="13"/>
    </row>
    <row r="17" spans="1:4" s="14" customFormat="1" ht="21" customHeight="1" x14ac:dyDescent="0.3">
      <c r="A17" s="13">
        <v>4</v>
      </c>
      <c r="B17" s="44">
        <v>2400102003</v>
      </c>
      <c r="C17" s="45" t="s">
        <v>81</v>
      </c>
      <c r="D17" s="13"/>
    </row>
    <row r="18" spans="1:4" s="14" customFormat="1" ht="21" customHeight="1" x14ac:dyDescent="0.3">
      <c r="A18" s="13">
        <v>5</v>
      </c>
      <c r="B18" s="44">
        <v>2400102004</v>
      </c>
      <c r="C18" s="45" t="s">
        <v>82</v>
      </c>
      <c r="D18" s="13"/>
    </row>
    <row r="19" spans="1:4" s="14" customFormat="1" ht="21" customHeight="1" x14ac:dyDescent="0.3">
      <c r="A19" s="13">
        <v>6</v>
      </c>
      <c r="B19" s="44">
        <v>2400102005</v>
      </c>
      <c r="C19" s="45" t="s">
        <v>83</v>
      </c>
      <c r="D19" s="13"/>
    </row>
    <row r="20" spans="1:4" s="14" customFormat="1" ht="21" customHeight="1" x14ac:dyDescent="0.3">
      <c r="A20" s="13">
        <v>7</v>
      </c>
      <c r="B20" s="44">
        <v>2400102006</v>
      </c>
      <c r="C20" s="45" t="s">
        <v>84</v>
      </c>
      <c r="D20" s="13"/>
    </row>
    <row r="21" spans="1:4" s="14" customFormat="1" ht="21" customHeight="1" x14ac:dyDescent="0.3">
      <c r="A21" s="13">
        <v>8</v>
      </c>
      <c r="B21" s="44">
        <v>2400102007</v>
      </c>
      <c r="C21" s="45" t="s">
        <v>85</v>
      </c>
      <c r="D21" s="13"/>
    </row>
    <row r="22" spans="1:4" s="14" customFormat="1" ht="21" customHeight="1" x14ac:dyDescent="0.3">
      <c r="A22" s="13">
        <v>9</v>
      </c>
      <c r="B22" s="44">
        <v>2400102008</v>
      </c>
      <c r="C22" s="45" t="s">
        <v>86</v>
      </c>
      <c r="D22" s="13"/>
    </row>
    <row r="23" spans="1:4" s="14" customFormat="1" ht="21" customHeight="1" x14ac:dyDescent="0.3">
      <c r="A23" s="13">
        <v>10</v>
      </c>
      <c r="B23" s="44">
        <v>2400102011</v>
      </c>
      <c r="C23" s="45" t="s">
        <v>87</v>
      </c>
      <c r="D23" s="13"/>
    </row>
    <row r="24" spans="1:4" s="14" customFormat="1" ht="21" customHeight="1" x14ac:dyDescent="0.3">
      <c r="A24" s="13">
        <v>11</v>
      </c>
      <c r="B24" s="44">
        <v>2400102012</v>
      </c>
      <c r="C24" s="45" t="s">
        <v>88</v>
      </c>
      <c r="D24" s="13"/>
    </row>
    <row r="25" spans="1:4" s="14" customFormat="1" ht="21" customHeight="1" x14ac:dyDescent="0.3">
      <c r="A25" s="13">
        <v>12</v>
      </c>
      <c r="B25" s="44">
        <v>2400102013</v>
      </c>
      <c r="C25" s="45" t="s">
        <v>89</v>
      </c>
      <c r="D25" s="13"/>
    </row>
    <row r="26" spans="1:4" s="14" customFormat="1" ht="21" customHeight="1" x14ac:dyDescent="0.3">
      <c r="A26" s="13">
        <v>13</v>
      </c>
      <c r="B26" s="44">
        <v>2400102014</v>
      </c>
      <c r="C26" s="45" t="s">
        <v>90</v>
      </c>
      <c r="D26" s="13"/>
    </row>
    <row r="27" spans="1:4" s="14" customFormat="1" ht="21" customHeight="1" x14ac:dyDescent="0.3">
      <c r="A27" s="13">
        <v>14</v>
      </c>
      <c r="B27" s="44">
        <v>2400102016</v>
      </c>
      <c r="C27" s="45" t="s">
        <v>91</v>
      </c>
      <c r="D27" s="13"/>
    </row>
    <row r="28" spans="1:4" s="14" customFormat="1" ht="21" customHeight="1" x14ac:dyDescent="0.3">
      <c r="A28" s="13">
        <v>15</v>
      </c>
      <c r="B28" s="44">
        <v>2400102017</v>
      </c>
      <c r="C28" s="45" t="s">
        <v>92</v>
      </c>
      <c r="D28" s="13"/>
    </row>
    <row r="29" spans="1:4" s="14" customFormat="1" ht="21" customHeight="1" x14ac:dyDescent="0.3">
      <c r="A29" s="13">
        <v>16</v>
      </c>
      <c r="B29" s="44">
        <v>2400102019</v>
      </c>
      <c r="C29" s="45" t="s">
        <v>93</v>
      </c>
      <c r="D29" s="13"/>
    </row>
    <row r="30" spans="1:4" s="14" customFormat="1" ht="21" customHeight="1" x14ac:dyDescent="0.3">
      <c r="A30" s="13">
        <v>17</v>
      </c>
      <c r="B30" s="44">
        <v>2400102021</v>
      </c>
      <c r="C30" s="45" t="s">
        <v>94</v>
      </c>
      <c r="D30" s="13"/>
    </row>
    <row r="31" spans="1:4" s="14" customFormat="1" ht="21" customHeight="1" x14ac:dyDescent="0.3">
      <c r="A31" s="13">
        <v>18</v>
      </c>
      <c r="B31" s="44">
        <v>2400102022</v>
      </c>
      <c r="C31" s="45" t="s">
        <v>95</v>
      </c>
      <c r="D31" s="13"/>
    </row>
    <row r="32" spans="1:4" s="14" customFormat="1" ht="21" customHeight="1" x14ac:dyDescent="0.3">
      <c r="A32" s="13">
        <v>19</v>
      </c>
      <c r="B32" s="44">
        <v>2400102023</v>
      </c>
      <c r="C32" s="45" t="s">
        <v>96</v>
      </c>
      <c r="D32" s="13"/>
    </row>
    <row r="33" spans="1:4" s="14" customFormat="1" ht="21" customHeight="1" x14ac:dyDescent="0.3">
      <c r="A33" s="13">
        <v>20</v>
      </c>
      <c r="B33" s="44">
        <v>2400102024</v>
      </c>
      <c r="C33" s="45" t="s">
        <v>97</v>
      </c>
      <c r="D33" s="13"/>
    </row>
    <row r="34" spans="1:4" s="14" customFormat="1" ht="21" customHeight="1" x14ac:dyDescent="0.3">
      <c r="A34" s="13">
        <v>21</v>
      </c>
      <c r="B34" s="44">
        <v>2400102025</v>
      </c>
      <c r="C34" s="45" t="s">
        <v>98</v>
      </c>
      <c r="D34" s="13"/>
    </row>
    <row r="35" spans="1:4" s="14" customFormat="1" ht="21" customHeight="1" x14ac:dyDescent="0.3">
      <c r="A35" s="13">
        <v>22</v>
      </c>
      <c r="B35" s="44">
        <v>2400102026</v>
      </c>
      <c r="C35" s="45" t="s">
        <v>99</v>
      </c>
      <c r="D35" s="13"/>
    </row>
    <row r="36" spans="1:4" s="14" customFormat="1" ht="21" customHeight="1" x14ac:dyDescent="0.3">
      <c r="A36" s="13">
        <v>23</v>
      </c>
      <c r="B36" s="44">
        <v>2400102028</v>
      </c>
      <c r="C36" s="45" t="s">
        <v>100</v>
      </c>
      <c r="D36" s="13"/>
    </row>
    <row r="37" spans="1:4" s="14" customFormat="1" ht="21" customHeight="1" x14ac:dyDescent="0.3">
      <c r="A37" s="13">
        <v>24</v>
      </c>
      <c r="B37" s="44">
        <v>2400102029</v>
      </c>
      <c r="C37" s="45" t="s">
        <v>101</v>
      </c>
      <c r="D37" s="13"/>
    </row>
    <row r="38" spans="1:4" s="14" customFormat="1" ht="21" customHeight="1" x14ac:dyDescent="0.3">
      <c r="A38" s="13">
        <v>25</v>
      </c>
      <c r="B38" s="44">
        <v>2400102031</v>
      </c>
      <c r="C38" s="45" t="s">
        <v>102</v>
      </c>
      <c r="D38" s="13"/>
    </row>
    <row r="39" spans="1:4" s="14" customFormat="1" ht="21" customHeight="1" x14ac:dyDescent="0.3">
      <c r="A39" s="13">
        <v>26</v>
      </c>
      <c r="B39" s="44">
        <v>2400102033</v>
      </c>
      <c r="C39" s="45" t="s">
        <v>103</v>
      </c>
      <c r="D39" s="13"/>
    </row>
    <row r="40" spans="1:4" s="14" customFormat="1" ht="21" customHeight="1" x14ac:dyDescent="0.3">
      <c r="A40" s="13">
        <v>27</v>
      </c>
      <c r="B40" s="44">
        <v>2400102034</v>
      </c>
      <c r="C40" s="45" t="s">
        <v>104</v>
      </c>
      <c r="D40" s="13"/>
    </row>
    <row r="41" spans="1:4" s="14" customFormat="1" ht="21" customHeight="1" x14ac:dyDescent="0.3">
      <c r="A41" s="13">
        <v>28</v>
      </c>
      <c r="B41" s="44">
        <v>2400102038</v>
      </c>
      <c r="C41" s="45" t="s">
        <v>105</v>
      </c>
      <c r="D41" s="15"/>
    </row>
    <row r="42" spans="1:4" s="14" customFormat="1" ht="21" customHeight="1" x14ac:dyDescent="0.3">
      <c r="A42" s="13">
        <v>29</v>
      </c>
      <c r="B42" s="44">
        <v>2400102039</v>
      </c>
      <c r="C42" s="45" t="s">
        <v>106</v>
      </c>
      <c r="D42" s="15"/>
    </row>
    <row r="43" spans="1:4" s="14" customFormat="1" ht="21" customHeight="1" x14ac:dyDescent="0.3">
      <c r="A43" s="13">
        <v>30</v>
      </c>
      <c r="B43" s="44">
        <v>2400102041</v>
      </c>
      <c r="C43" s="45" t="s">
        <v>107</v>
      </c>
      <c r="D43" s="15"/>
    </row>
    <row r="44" spans="1:4" s="14" customFormat="1" ht="21" customHeight="1" x14ac:dyDescent="0.3">
      <c r="A44" s="13">
        <v>31</v>
      </c>
      <c r="B44" s="44">
        <v>2400102042</v>
      </c>
      <c r="C44" s="45" t="s">
        <v>108</v>
      </c>
      <c r="D44" s="15"/>
    </row>
    <row r="45" spans="1:4" s="14" customFormat="1" ht="21" customHeight="1" x14ac:dyDescent="0.3">
      <c r="A45" s="13">
        <v>32</v>
      </c>
      <c r="B45" s="44">
        <v>2400102044</v>
      </c>
      <c r="C45" s="45" t="s">
        <v>109</v>
      </c>
      <c r="D45" s="15"/>
    </row>
    <row r="46" spans="1:4" s="14" customFormat="1" ht="21" customHeight="1" x14ac:dyDescent="0.3">
      <c r="A46" s="13">
        <v>33</v>
      </c>
      <c r="B46" s="44">
        <v>2400102046</v>
      </c>
      <c r="C46" s="45" t="s">
        <v>110</v>
      </c>
      <c r="D46" s="15"/>
    </row>
    <row r="47" spans="1:4" s="14" customFormat="1" ht="21" customHeight="1" x14ac:dyDescent="0.3">
      <c r="A47" s="13">
        <v>34</v>
      </c>
      <c r="B47" s="44">
        <v>2400102048</v>
      </c>
      <c r="C47" s="45" t="s">
        <v>111</v>
      </c>
      <c r="D47" s="15"/>
    </row>
    <row r="48" spans="1:4" s="14" customFormat="1" ht="21" customHeight="1" x14ac:dyDescent="0.3">
      <c r="A48" s="13">
        <v>35</v>
      </c>
      <c r="B48" s="44">
        <v>2400102051</v>
      </c>
      <c r="C48" s="45" t="s">
        <v>112</v>
      </c>
      <c r="D48" s="15"/>
    </row>
    <row r="49" spans="1:6" s="14" customFormat="1" ht="21" customHeight="1" x14ac:dyDescent="0.3">
      <c r="A49" s="13">
        <v>36</v>
      </c>
      <c r="B49" s="44">
        <v>2400102054</v>
      </c>
      <c r="C49" s="45" t="s">
        <v>113</v>
      </c>
      <c r="D49" s="15"/>
    </row>
    <row r="50" spans="1:6" s="14" customFormat="1" ht="21" customHeight="1" x14ac:dyDescent="0.3">
      <c r="A50" s="13">
        <v>37</v>
      </c>
      <c r="B50" s="44">
        <v>2400102057</v>
      </c>
      <c r="C50" s="45" t="s">
        <v>114</v>
      </c>
      <c r="D50" s="15"/>
    </row>
    <row r="51" spans="1:6" s="14" customFormat="1" ht="21" customHeight="1" x14ac:dyDescent="0.3">
      <c r="A51" s="13">
        <v>38</v>
      </c>
      <c r="B51" s="44">
        <v>2400102058</v>
      </c>
      <c r="C51" s="45" t="s">
        <v>115</v>
      </c>
      <c r="D51" s="15"/>
    </row>
    <row r="52" spans="1:6" s="14" customFormat="1" ht="21" customHeight="1" x14ac:dyDescent="0.3">
      <c r="A52" s="13">
        <v>39</v>
      </c>
      <c r="B52" s="44">
        <v>2400102059</v>
      </c>
      <c r="C52" s="45" t="s">
        <v>116</v>
      </c>
      <c r="D52" s="15"/>
    </row>
    <row r="53" spans="1:6" s="14" customFormat="1" ht="21" customHeight="1" x14ac:dyDescent="0.3">
      <c r="A53" s="13">
        <v>40</v>
      </c>
      <c r="B53" s="44">
        <v>2400102060</v>
      </c>
      <c r="C53" s="45" t="s">
        <v>117</v>
      </c>
      <c r="D53" s="15"/>
    </row>
    <row r="54" spans="1:6" s="14" customFormat="1" ht="15.6" x14ac:dyDescent="0.3">
      <c r="A54" s="16"/>
      <c r="B54" s="16"/>
      <c r="C54" s="16"/>
      <c r="D54" s="17"/>
    </row>
    <row r="55" spans="1:6" s="8" customFormat="1" ht="22.5" customHeight="1" x14ac:dyDescent="0.25">
      <c r="A55" s="20" t="s">
        <v>14</v>
      </c>
      <c r="B55" s="7"/>
      <c r="C55" s="7"/>
      <c r="D55" s="9"/>
    </row>
    <row r="56" spans="1:6" s="8" customFormat="1" ht="22.5" customHeight="1" x14ac:dyDescent="0.25">
      <c r="A56" s="21" t="s">
        <v>15</v>
      </c>
      <c r="B56" s="7"/>
      <c r="C56" s="7"/>
      <c r="D56" s="9"/>
    </row>
    <row r="57" spans="1:6" s="8" customFormat="1" ht="13.8" x14ac:dyDescent="0.25">
      <c r="A57" s="21" t="s">
        <v>16</v>
      </c>
      <c r="B57" s="7"/>
      <c r="C57" s="7"/>
      <c r="D57" s="9"/>
    </row>
    <row r="58" spans="1:6" s="14" customFormat="1" ht="15.6" x14ac:dyDescent="0.3">
      <c r="A58" s="50" t="s">
        <v>26</v>
      </c>
      <c r="B58" s="50"/>
      <c r="C58" s="50"/>
      <c r="D58" s="50"/>
      <c r="E58" s="27"/>
      <c r="F58" s="27"/>
    </row>
    <row r="59" spans="1:6" s="14" customFormat="1" ht="15.6" x14ac:dyDescent="0.3">
      <c r="A59" s="16"/>
      <c r="B59" s="16"/>
      <c r="C59" s="16"/>
      <c r="D59" s="17"/>
    </row>
    <row r="60" spans="1:6" s="14" customFormat="1" ht="15.6" x14ac:dyDescent="0.3">
      <c r="A60" s="16"/>
      <c r="B60" s="16"/>
      <c r="C60" s="16"/>
      <c r="D60" s="17"/>
    </row>
    <row r="61" spans="1:6" s="14" customFormat="1" ht="38.25" customHeight="1" x14ac:dyDescent="0.3">
      <c r="A61" s="71" t="s">
        <v>17</v>
      </c>
      <c r="B61" s="71"/>
      <c r="C61" s="71"/>
      <c r="D61" s="6" t="s">
        <v>18</v>
      </c>
    </row>
    <row r="62" spans="1:6" s="14" customFormat="1" ht="15.6" x14ac:dyDescent="0.3">
      <c r="A62" s="16"/>
      <c r="B62" s="16"/>
      <c r="C62" s="16"/>
      <c r="D62" s="17"/>
    </row>
    <row r="63" spans="1:6" s="14" customFormat="1" ht="15.6" x14ac:dyDescent="0.3">
      <c r="A63" s="16"/>
      <c r="B63" s="16"/>
      <c r="C63" s="16"/>
      <c r="D63" s="17"/>
    </row>
    <row r="64" spans="1:6" s="14" customFormat="1" ht="35.25" customHeight="1" x14ac:dyDescent="0.3">
      <c r="A64" s="53" t="s">
        <v>23</v>
      </c>
      <c r="B64" s="53"/>
      <c r="C64" s="53"/>
      <c r="D64" s="53"/>
    </row>
  </sheetData>
  <mergeCells count="11">
    <mergeCell ref="A3:D3"/>
    <mergeCell ref="A4:D4"/>
    <mergeCell ref="A5:D5"/>
    <mergeCell ref="A6:D6"/>
    <mergeCell ref="A7:D7"/>
    <mergeCell ref="A64:D64"/>
    <mergeCell ref="A9:C9"/>
    <mergeCell ref="A10:C10"/>
    <mergeCell ref="A11:C11"/>
    <mergeCell ref="A58:D58"/>
    <mergeCell ref="A61:C61"/>
  </mergeCells>
  <conditionalFormatting sqref="C14:C53">
    <cfRule type="duplicateValues" dxfId="0" priority="12" stopIfTrue="1"/>
  </conditionalFormatting>
  <pageMargins left="0.31496062992125984" right="0.23622047244094491" top="0.47244094488188981" bottom="0.39370078740157483" header="0.31496062992125984" footer="0.19685039370078741"/>
  <pageSetup paperSize="9" fitToHeight="0" orientation="portrait" r:id="rId1"/>
  <headerFooter>
    <oddFooter>Page &amp;P of &amp;N</oddFooter>
  </headerFooter>
  <rowBreaks count="1" manualBreakCount="1">
    <brk id="36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12</vt:i4>
      </vt:variant>
    </vt:vector>
  </HeadingPairs>
  <TitlesOfParts>
    <vt:vector size="19" baseType="lpstr">
      <vt:lpstr>CAT -01</vt:lpstr>
      <vt:lpstr>CAP -01</vt:lpstr>
      <vt:lpstr>CAS -01</vt:lpstr>
      <vt:lpstr>Combine CA - 01</vt:lpstr>
      <vt:lpstr>ESP</vt:lpstr>
      <vt:lpstr>ESS-Integrated Project Rubric</vt:lpstr>
      <vt:lpstr>Attandance Report - All</vt:lpstr>
      <vt:lpstr>'Attandance Report - All'!Print_Area</vt:lpstr>
      <vt:lpstr>'CAP -01'!Print_Area</vt:lpstr>
      <vt:lpstr>'CAS -01'!Print_Area</vt:lpstr>
      <vt:lpstr>'CAT -01'!Print_Area</vt:lpstr>
      <vt:lpstr>'Combine CA - 01'!Print_Area</vt:lpstr>
      <vt:lpstr>'ESS-Integrated Project Rubric'!Print_Area</vt:lpstr>
      <vt:lpstr>'Attandance Report - All'!Print_Titles</vt:lpstr>
      <vt:lpstr>'CAP -01'!Print_Titles</vt:lpstr>
      <vt:lpstr>'CAS -01'!Print_Titles</vt:lpstr>
      <vt:lpstr>'CAT -01'!Print_Titles</vt:lpstr>
      <vt:lpstr>'Combine CA - 01'!Print_Titles</vt:lpstr>
      <vt:lpstr>'ESS-Integrated Project Rubric'!Print_Titles</vt:lpstr>
    </vt:vector>
  </TitlesOfParts>
  <Company>SSOU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 Suryavanshi</dc:creator>
  <cp:lastModifiedBy>Acharya Jankar</cp:lastModifiedBy>
  <cp:lastPrinted>2026-09-17T11:05:55Z</cp:lastPrinted>
  <dcterms:created xsi:type="dcterms:W3CDTF">2024-05-15T05:01:17Z</dcterms:created>
  <dcterms:modified xsi:type="dcterms:W3CDTF">2026-09-28T06:42:19Z</dcterms:modified>
</cp:coreProperties>
</file>