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5d35de932c4e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" sheetId="1" r:id="R390300a500fc4f37"/>
    <x:sheet xmlns:r="http://schemas.openxmlformats.org/officeDocument/2006/relationships" name="Student_Details" sheetId="2" r:id="R14039fd73c9e40d1"/>
    <x:sheet xmlns:r="http://schemas.openxmlformats.org/officeDocument/2006/relationships" name="Student_Marks" sheetId="3" r:id="Raaa019e8b29b4c63"/>
    <x:sheet xmlns:r="http://schemas.openxmlformats.org/officeDocument/2006/relationships" name="Course_Config" sheetId="4" r:id="R0bf8234ab79f47c7"/>
    <x:sheet xmlns:r="http://schemas.openxmlformats.org/officeDocument/2006/relationships" name="Results" sheetId="5" r:id="R060896c3b27240be"/>
    <x:sheet xmlns:r="http://schemas.openxmlformats.org/officeDocument/2006/relationships" name="SGPA" sheetId="6" r:id="Ra9c5e29dbf524d7d"/>
    <x:sheet xmlns:r="http://schemas.openxmlformats.org/officeDocument/2006/relationships" name="ESE_Authorization" sheetId="7" r:id="R1e8e4933aa094fca"/>
    <x:sheet xmlns:r="http://schemas.openxmlformats.org/officeDocument/2006/relationships" name="Grading_Reference" sheetId="8" r:id="R8f09067448494ac7"/>
    <x:sheet xmlns:r="http://schemas.openxmlformats.org/officeDocument/2006/relationships" name="Result_Rules" sheetId="9" r:id="Rde97380efe2f4827"/>
    <x:sheet xmlns:r="http://schemas.openxmlformats.org/officeDocument/2006/relationships" name="Audit_Log" sheetId="10" r:id="R7de70de6ace94cb4"/>
    <x:sheet xmlns:r="http://schemas.openxmlformats.org/officeDocument/2006/relationships" name="Export_Config" sheetId="11" r:id="R683119ab5b31440d"/>
    <x:sheet xmlns:r="http://schemas.openxmlformats.org/officeDocument/2006/relationships" name="Example_Cases" sheetId="12" r:id="R8cba56fda33a44f0"/>
    <x:sheet xmlns:r="http://schemas.openxmlformats.org/officeDocument/2006/relationships" name="Language_Support" sheetId="13" r:id="Rb8776ea71a6a47d3"/>
    <x:sheet xmlns:r="http://schemas.openxmlformats.org/officeDocument/2006/relationships" name="ConditionalFormatting_Guide" sheetId="14" r:id="R22178ec2a9004a6d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2">
    <numFmt numFmtId="56" formatCode="&quot;上午/下午 &quot;hh&quot;時&quot;mm&quot;分&quot;ss&quot;秒 &quot;"/>
    <numFmt numFmtId="200" formatCode="0.00"/>
  </numFmts>
  <fonts count="7">
    <font>
      <sz val="12"/>
      <color theme="1"/>
      <name val="Calibri"/>
      <family val="2"/>
      <scheme val="minor"/>
    </font>
    <font>
      <sz val="12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FFFFFF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color rgb="FFFFFFFF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341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NumberFormat="1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2" fillId="2" borderId="0" xfId="0" applyNumberFormat="1" applyFont="1" applyFill="1" applyBorder="1"/>
    <xf numFmtId="0" fontId="2" fillId="2" borderId="0" xfId="0" applyNumberFormat="1" applyFont="1" applyFill="1" applyBorder="1" applyAlignment="1">
      <alignment wrapText="1"/>
    </xf>
    <xf numFmtId="200" fontId="0" fillId="0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/>
    <xf numFmtId="0" fontId="5" fillId="2" borderId="0" xfId="0" applyNumberFormat="1" applyFont="1" applyFill="1" applyBorder="1" applyAlignment="1">
      <alignment wrapText="1"/>
    </xf>
    <xf numFmtId="0" fontId="6" fillId="0" borderId="0" xfId="0" applyNumberFormat="1" applyFont="1" applyFill="1" applyBorder="1"/>
    <xf numFmtId="200" fontId="4" fillId="0" borderId="0" xfId="0" applyNumberFormat="1" applyFont="1" applyFill="1" applyBorder="1"/>
    <xf numFmtId="200" fontId="6" fillId="0" borderId="0" xfId="0" applyNumberFormat="1" applyFont="1" applyFill="1" applyBorder="1"/>
    <xf numFmtId="0" fontId="0" fillId="0" borderId="0" xfId="0" applyNumberFormat="1" applyProtection="1">
      <protection locked="0"/>
    </xf>
    <xf numFmtId="0" fontId="6" fillId="0" borderId="0" xfId="0" applyNumberFormat="1" applyFont="1" applyFill="1" applyBorder="1" applyProtection="1">
      <protection locked="0"/>
    </xf>
  </cellXfs>
  <cellStyles count="1">
    <cellStyle name="Normal" xfId="0"/>
  </cellStyles>
  <dxfs count="5">
    <dxf>
      <font>
        <color rgb="FF9F1239"/>
      </font>
      <fill>
        <patternFill patternType="solid">
          <bgColor rgb="FFFFE4E6"/>
        </patternFill>
      </fill>
    </dxf>
    <dxf>
      <font>
        <color rgb="FF065F46"/>
      </font>
      <fill>
        <patternFill patternType="solid">
          <bgColor rgb="FFD1FAE5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9F1239"/>
      </font>
      <fill>
        <patternFill patternType="solid">
          <bgColor rgb="FFFFE4E6"/>
        </patternFill>
      </fill>
    </dxf>
    <dxf>
      <font>
        <color rgb="FF9F1239"/>
      </font>
      <fill>
        <patternFill patternType="solid">
          <bgColor rgb="FFFFE4E6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72781fbab64490" /><Relationship Type="http://schemas.openxmlformats.org/officeDocument/2006/relationships/theme" Target="/xl/theme/theme1.xml" Id="R9a1d2b2b1df549c5" /><Relationship Type="http://schemas.openxmlformats.org/officeDocument/2006/relationships/sheetMetadata" Target="/xl/metadata1.xml" Id="R1aa9c9192ad04e18" /><Relationship Type="http://schemas.openxmlformats.org/officeDocument/2006/relationships/sharedStrings" Target="/xl/sharedStrings.xml" Id="Rc2bd524a80064b95" /><Relationship Type="http://schemas.openxmlformats.org/officeDocument/2006/relationships/worksheet" Target="/xl/worksheets/sheet1.xml" Id="R390300a500fc4f37" /><Relationship Type="http://schemas.openxmlformats.org/officeDocument/2006/relationships/worksheet" Target="/xl/worksheets/sheet2.xml" Id="R14039fd73c9e40d1" /><Relationship Type="http://schemas.openxmlformats.org/officeDocument/2006/relationships/worksheet" Target="/xl/worksheets/sheet3.xml" Id="Raaa019e8b29b4c63" /><Relationship Type="http://schemas.openxmlformats.org/officeDocument/2006/relationships/worksheet" Target="/xl/worksheets/sheet4.xml" Id="R0bf8234ab79f47c7" /><Relationship Type="http://schemas.openxmlformats.org/officeDocument/2006/relationships/worksheet" Target="/xl/worksheets/sheet5.xml" Id="R060896c3b27240be" /><Relationship Type="http://schemas.openxmlformats.org/officeDocument/2006/relationships/worksheet" Target="/xl/worksheets/sheet6.xml" Id="Ra9c5e29dbf524d7d" /><Relationship Type="http://schemas.openxmlformats.org/officeDocument/2006/relationships/worksheet" Target="/xl/worksheets/sheet7.xml" Id="R1e8e4933aa094fca" /><Relationship Type="http://schemas.openxmlformats.org/officeDocument/2006/relationships/worksheet" Target="/xl/worksheets/sheet8.xml" Id="R8f09067448494ac7" /><Relationship Type="http://schemas.openxmlformats.org/officeDocument/2006/relationships/worksheet" Target="/xl/worksheets/sheet9.xml" Id="Rde97380efe2f4827" /><Relationship Type="http://schemas.openxmlformats.org/officeDocument/2006/relationships/worksheet" Target="/xl/worksheets/sheet10.xml" Id="R7de70de6ace94cb4" /><Relationship Type="http://schemas.openxmlformats.org/officeDocument/2006/relationships/worksheet" Target="/xl/worksheets/sheet11.xml" Id="R683119ab5b31440d" /><Relationship Type="http://schemas.openxmlformats.org/officeDocument/2006/relationships/worksheet" Target="/xl/worksheets/sheet12.xml" Id="R8cba56fda33a44f0" /><Relationship Type="http://schemas.openxmlformats.org/officeDocument/2006/relationships/worksheet" Target="/xl/worksheets/sheet13.xml" Id="Rb8776ea71a6a47d3" /><Relationship Type="http://schemas.openxmlformats.org/officeDocument/2006/relationships/worksheet" Target="/xl/worksheets/sheet14.xml" Id="R22178ec2a9004a6d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>
  <cols>
    <col min="1" max="1" width="25.83203125" customWidth="1"/>
    <col min="2" max="2" width="35.83203125" customWidth="1"/>
    <col min="3" max="3" width="15.83203125" customWidth="1"/>
    <col min="4" max="4" width="15.83203125" customWidth="1"/>
    <col min="5" max="5" width="50.83203125" customWidth="1"/>
  </cols>
  <sheetData>
    <row r="1">
      <c r="A1" t="str">
        <v>Setting_ID</v>
      </c>
      <c r="B1" t="str">
        <v>Setting_Name</v>
      </c>
      <c r="C1" t="str">
        <v>Setting_Value</v>
      </c>
      <c r="D1" t="str">
        <v>Setting_Type</v>
      </c>
      <c r="E1" t="str">
        <v>Description</v>
      </c>
    </row>
    <row r="2">
      <c r="A2" t="str" s="12">
        <v>ARCH_OVERALL_PASS_PCT</v>
      </c>
      <c r="B2" t="str" s="12">
        <v>Architecture Overall Passing %</v>
      </c>
      <c r="C2" s="12">
        <v>45</v>
      </c>
      <c r="D2" t="str" s="12">
        <v>percentage</v>
      </c>
      <c r="E2" t="str" s="12">
        <v>Minimum overall percentage required to pass for Architecture programmes</v>
      </c>
    </row>
    <row r="3">
      <c r="A3" t="str" s="12">
        <v>NON_ARCH_OVERALL_PASS_PCT</v>
      </c>
      <c r="B3" t="str" s="12">
        <v>Non-Architecture Overall Passing %</v>
      </c>
      <c r="C3" t="n" s="12">
        <v>40</v>
      </c>
      <c r="D3" t="str" s="12">
        <v>percentage</v>
      </c>
      <c r="E3" t="str" s="12">
        <v>Minimum overall percentage required to pass for Non-Architecture programmes (configurable to 45)</v>
      </c>
    </row>
    <row r="4">
      <c r="A4" t="str" s="12">
        <v>CA_ELIGIBILITY_PCT</v>
      </c>
      <c r="B4" t="str" s="12">
        <v>CA Eligibility %</v>
      </c>
      <c r="C4" s="12">
        <v>40</v>
      </c>
      <c r="D4" t="str" s="12">
        <v>percentage</v>
      </c>
      <c r="E4" t="str" s="12">
        <v>Minimum combined CA percentage required for ESE eligibility</v>
      </c>
    </row>
    <row r="5">
      <c r="A5" t="str" s="12">
        <v>ESE_HEAD_PASS_PCT</v>
      </c>
      <c r="B5" t="str" s="12">
        <v>ESE Head Passing %</v>
      </c>
      <c r="C5" s="12">
        <v>45</v>
      </c>
      <c r="D5" t="str" s="12">
        <v>percentage</v>
      </c>
      <c r="E5" t="str" s="12">
        <v>Minimum percentage required in each ESE head</v>
      </c>
    </row>
    <row r="6">
      <c r="A6" t="str" s="12">
        <v>THEORY_APP</v>
      </c>
      <c r="B6" t="str" s="12">
        <v>Theory Applicable</v>
      </c>
      <c r="C6" s="12">
        <v>1</v>
      </c>
      <c r="D6" t="str" s="12">
        <v>boolean</v>
      </c>
      <c r="E6" t="str" s="12">
        <v>1=Yes, 0=No</v>
      </c>
    </row>
    <row r="7">
      <c r="A7" t="str" s="12">
        <v>PRACTICAL_APP</v>
      </c>
      <c r="B7" t="str" s="12">
        <v>Practical Applicable</v>
      </c>
      <c r="C7" s="12">
        <v>1</v>
      </c>
      <c r="D7" t="str" s="12">
        <v>boolean</v>
      </c>
      <c r="E7" t="str" s="12">
        <v>1=Yes, 0=No</v>
      </c>
    </row>
    <row r="8">
      <c r="A8" t="str" s="12">
        <v>SKILLS_APP</v>
      </c>
      <c r="B8" t="str" s="12">
        <v>Skills Applicable</v>
      </c>
      <c r="C8" s="12">
        <v>1</v>
      </c>
      <c r="D8" t="str" s="12">
        <v>boolean</v>
      </c>
      <c r="E8" t="str" s="12">
        <v>1=Yes, 0=No</v>
      </c>
    </row>
    <row r="9">
      <c r="A9" t="str" s="12">
        <v>CA1_MAX_THEORY</v>
      </c>
      <c r="B9" t="str" s="12">
        <v>CA1 Max Theory</v>
      </c>
      <c r="C9" s="12">
        <v>20</v>
      </c>
      <c r="D9" t="str" s="12">
        <v>numeric</v>
      </c>
      <c r="E9" t="str" s="12">
        <v>Legacy reference only. Course_Config owns each subject maximum.</v>
      </c>
    </row>
    <row r="10">
      <c r="A10" t="str" s="12">
        <v>CA2_MAX_THEORY</v>
      </c>
      <c r="B10" t="str" s="12">
        <v>CA2 Max Theory</v>
      </c>
      <c r="C10" s="12">
        <v>20</v>
      </c>
      <c r="D10" t="str" s="12">
        <v>numeric</v>
      </c>
      <c r="E10" t="str" s="12">
        <v>Legacy reference only. Course_Config owns each subject maximum.</v>
      </c>
    </row>
    <row r="11">
      <c r="A11" t="str" s="12">
        <v>CA3_MAX_THEORY</v>
      </c>
      <c r="B11" t="str" s="12">
        <v>CA3 Max Theory</v>
      </c>
      <c r="C11" s="12">
        <v>20</v>
      </c>
      <c r="D11" t="str" s="12">
        <v>numeric</v>
      </c>
      <c r="E11" t="str" s="12">
        <v>Legacy reference only. Course_Config owns each subject maximum.</v>
      </c>
    </row>
    <row r="12">
      <c r="A12" t="str" s="12">
        <v>CA1_MAX_PRACTICAL</v>
      </c>
      <c r="B12" t="str" s="12">
        <v>CA1 Max Practical</v>
      </c>
      <c r="C12" s="12">
        <v>20</v>
      </c>
      <c r="D12" t="str" s="12">
        <v>numeric</v>
      </c>
      <c r="E12" t="str" s="12">
        <v>Legacy reference only. Course_Config owns each subject maximum.</v>
      </c>
    </row>
    <row r="13">
      <c r="A13" t="str" s="12">
        <v>CA2_MAX_PRACTICAL</v>
      </c>
      <c r="B13" t="str" s="12">
        <v>CA2 Max Practical</v>
      </c>
      <c r="C13" s="12">
        <v>20</v>
      </c>
      <c r="D13" t="str" s="12">
        <v>numeric</v>
      </c>
      <c r="E13" t="str" s="12">
        <v>Legacy reference only. Course_Config owns each subject maximum.</v>
      </c>
    </row>
    <row r="14">
      <c r="A14" t="str" s="12">
        <v>CA3_MAX_PRACTICAL</v>
      </c>
      <c r="B14" t="str" s="12">
        <v>CA3 Max Practical</v>
      </c>
      <c r="C14" s="12">
        <v>20</v>
      </c>
      <c r="D14" t="str" s="12">
        <v>numeric</v>
      </c>
      <c r="E14" t="str" s="12">
        <v>Legacy reference only. Course_Config owns each subject maximum.</v>
      </c>
    </row>
    <row r="15">
      <c r="A15" t="str" s="12">
        <v>CA1_MAX_SKILLS</v>
      </c>
      <c r="B15" t="str" s="12">
        <v>CA1 Max Skills</v>
      </c>
      <c r="C15" s="12">
        <v>20</v>
      </c>
      <c r="D15" t="str" s="12">
        <v>numeric</v>
      </c>
      <c r="E15" t="str" s="12">
        <v>Legacy reference only. Course_Config owns each subject maximum.</v>
      </c>
    </row>
    <row r="16">
      <c r="A16" t="str" s="12">
        <v>CA2_MAX_SKILLS</v>
      </c>
      <c r="B16" t="str" s="12">
        <v>CA2 Max Skills</v>
      </c>
      <c r="C16" s="12">
        <v>20</v>
      </c>
      <c r="D16" t="str" s="12">
        <v>numeric</v>
      </c>
      <c r="E16" t="str" s="12">
        <v>Legacy reference only. Course_Config owns each subject maximum.</v>
      </c>
    </row>
    <row r="17">
      <c r="A17" t="str" s="12">
        <v>CA3_MAX_SKILLS</v>
      </c>
      <c r="B17" t="str" s="12">
        <v>CA3 Max Skills</v>
      </c>
      <c r="C17" s="12">
        <v>20</v>
      </c>
      <c r="D17" t="str" s="12">
        <v>numeric</v>
      </c>
      <c r="E17" t="str" s="12">
        <v>Legacy reference only. Course_Config owns each subject maximum.</v>
      </c>
    </row>
    <row r="18">
      <c r="A18" t="str" s="12">
        <v>ESE_MAX_THEORY</v>
      </c>
      <c r="B18" t="str" s="12">
        <v>ESE Max Theory</v>
      </c>
      <c r="C18" s="12">
        <v>100</v>
      </c>
      <c r="D18" t="str" s="12">
        <v>numeric</v>
      </c>
      <c r="E18" t="str" s="12">
        <v>Legacy reference only. Course_Config owns each subject maximum.</v>
      </c>
    </row>
    <row r="19">
      <c r="A19" t="str" s="12">
        <v>ESE_MAX_PRACTICAL</v>
      </c>
      <c r="B19" t="str" s="12">
        <v>ESE Max Practical</v>
      </c>
      <c r="C19" s="12">
        <v>50</v>
      </c>
      <c r="D19" t="str" s="12">
        <v>numeric</v>
      </c>
      <c r="E19" t="str" s="12">
        <v>Legacy reference only. Course_Config owns each subject maximum.</v>
      </c>
    </row>
    <row r="20">
      <c r="A20" t="str" s="12">
        <v>ESE_MAX_SKILLS</v>
      </c>
      <c r="B20" t="str" s="12">
        <v>ESE Max Skills</v>
      </c>
      <c r="C20" s="12">
        <v>30</v>
      </c>
      <c r="D20" t="str" s="12">
        <v>numeric</v>
      </c>
      <c r="E20" t="str" s="12">
        <v>Legacy reference only. Course_Config owns each subject maximum.</v>
      </c>
    </row>
    <row r="21">
      <c r="A21" t="str" s="12">
        <v>BTECH_ARCH_PCT</v>
      </c>
      <c r="B21" t="str" s="12">
        <v>BTECH-ARCH Passing %</v>
      </c>
      <c r="C21" s="12">
        <v>45</v>
      </c>
      <c r="D21" t="str" s="12">
        <v>percentage</v>
      </c>
      <c r="E21" t="str" s="12">
        <v>Architecture programme passing percentage</v>
      </c>
    </row>
    <row r="22">
      <c r="A22" t="str" s="12">
        <v>BTECH_CIVIL_PCT</v>
      </c>
      <c r="B22" t="str" s="12">
        <v>BTECH-CIVIL Passing %</v>
      </c>
      <c r="C22" s="12">
        <v>40</v>
      </c>
      <c r="D22" t="str" s="12">
        <v>percentage</v>
      </c>
      <c r="E22" t="str" s="12">
        <v>Non-Architecture programme passing percentage</v>
      </c>
    </row>
    <row r="23">
      <c r="A23" t="str" s="12">
        <v>GRADE_ROUNDING_METHOD</v>
      </c>
      <c r="B23" t="str" s="12">
        <v>Grade Rounding Method</v>
      </c>
      <c r="C23" t="str" s="12">
        <v>NONE</v>
      </c>
      <c r="D23" t="str" s="12">
        <v>text</v>
      </c>
      <c r="E23" t="str" s="12">
        <v>Grades use raw percentages and lower-bound intervals; no percentage/10 grading.</v>
      </c>
    </row>
    <row r="24">
      <c r="A24" t="str" s="12">
        <v>SGPA_CALCULATION_METHOD</v>
      </c>
      <c r="B24" t="str" s="12">
        <v>SGPA Calculation Method</v>
      </c>
      <c r="C24" t="str" s="12">
        <v>credit_weighted</v>
      </c>
      <c r="D24" t="str" s="12">
        <v>text</v>
      </c>
      <c r="E24" t="str" s="12">
        <v>Options: credit_weighted/simple_average</v>
      </c>
    </row>
    <row r="25">
      <c r="A25" t="str" s="12">
        <v>MIN_ATTENDANCE_PCT</v>
      </c>
      <c r="B25" t="str" s="12">
        <v>Minimum Attendance %</v>
      </c>
      <c r="C25" s="12">
        <v>75</v>
      </c>
      <c r="D25" t="str" s="12">
        <v>percentage</v>
      </c>
      <c r="E25" t="str" s="12">
        <v>Minimum attendance percentage required</v>
      </c>
    </row>
    <row r="26">
      <c r="A26" t="str" s="12">
        <v>ATTENDANCE_MANDATORY</v>
      </c>
      <c r="B26" t="str" s="12">
        <v>Attendance Mandatory</v>
      </c>
      <c r="C26" t="n" s="12">
        <v>0</v>
      </c>
      <c r="D26" t="str" s="12">
        <v>boolean</v>
      </c>
      <c r="E26" t="str" s="12">
        <v>Synthetic demonstration: no additional attendance rule.</v>
      </c>
    </row>
    <row r="27">
      <c r="A27" t="str" s="12">
        <v>CA_SUBMISSION_MANDATORY</v>
      </c>
      <c r="B27" t="str" s="12">
        <v>CA Submission Mandatory</v>
      </c>
      <c r="C27" t="n" s="12">
        <v>0</v>
      </c>
      <c r="D27" t="str" s="12">
        <v>boolean</v>
      </c>
      <c r="E27" t="str" s="12">
        <v>Synthetic demonstration: completion checked through marks.</v>
      </c>
    </row>
    <row r="29">
      <c r="A29" t="str" s="12">
        <v>TEST_DATA</v>
      </c>
      <c r="B29" t="str" s="12">
        <v>Purpose</v>
      </c>
      <c r="C29" t="str" s="12">
        <v>Synthetic testing</v>
      </c>
      <c r="D29" t="str" s="12">
        <v>text</v>
      </c>
      <c r="E29" t="str" s="12">
        <v>Matches selected dummy registrations in the local database.</v>
      </c>
    </row>
    <row r="30">
      <c r="A30" t="str" s="12">
        <v>EXTEND</v>
      </c>
      <c r="B30" t="str" s="12">
        <v>Add students</v>
      </c>
      <c r="C30" t="str" s="12">
        <v>Extend table rows and formula ranges together</v>
      </c>
      <c r="D30" t="str" s="12">
        <v>text</v>
      </c>
      <c r="E30" t="str" s="12">
        <v>Preserve PRN + programme + semester + year + exam session keys.</v>
      </c>
    </row>
    <row r="31">
      <c r="A31" t="str" s="12">
        <v>APPROVAL</v>
      </c>
      <c r="B31" t="str" s="12">
        <v>Live use</v>
      </c>
      <c r="C31" t="str" s="12">
        <v>Not approved</v>
      </c>
      <c r="D31" t="str" s="12">
        <v>text</v>
      </c>
      <c r="E31" t="str" s="12">
        <v>Synthetic scheme approvals must not be used for real publication.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18" hidden="0" customWidth="1"/>
    <col min="9" max="9" width="18" hidden="0" customWidth="1"/>
  </cols>
  <sheetData>
    <row r="1" ht="36" customHeight="1">
      <c r="A1" s="4" t="str">
        <v>PRN</v>
      </c>
      <c r="B1" s="4" t="str">
        <v>Student_Name</v>
      </c>
      <c r="C1" s="4" t="str">
        <v>Programme</v>
      </c>
      <c r="D1" s="4" t="str">
        <v>Semester</v>
      </c>
      <c r="E1" s="4" t="str">
        <v>Academic_Year</v>
      </c>
      <c r="F1" s="4" t="str">
        <v>Exam_Session</v>
      </c>
      <c r="G1" s="4" t="str">
        <v>Programme_Type</v>
      </c>
      <c r="H1" s="4" t="str">
        <v>Course_Credits</v>
      </c>
      <c r="I1" s="4" t="str">
        <v>Enrollment_Status</v>
      </c>
    </row>
    <row r="2">
      <c r="A2" t="str" s="12">
        <v>TEST1001</v>
      </c>
      <c r="B2" t="str" s="12">
        <v>Test Student 1-01 (PASS)</v>
      </c>
      <c r="C2" t="str" s="12">
        <v>[TEST] B.Tech. Construction Engineering &amp; Management</v>
      </c>
      <c r="D2" t="str" s="12">
        <v>I</v>
      </c>
      <c r="E2" t="str" s="12">
        <v>2026-27</v>
      </c>
      <c r="F2" t="str" s="12">
        <v>Oct 2026 TEST</v>
      </c>
      <c r="G2" t="str" s="12">
        <v>Non-Architecture</v>
      </c>
      <c r="H2" s="12"/>
      <c r="I2" t="str" s="12">
        <v>TEST ONLY</v>
      </c>
    </row>
    <row r="3">
      <c r="A3" t="str" s="12">
        <v>TEST1003</v>
      </c>
      <c r="B3" t="str" s="12">
        <v>Test Student 1-03 (TNG)</v>
      </c>
      <c r="C3" t="str" s="12">
        <v>[TEST] B.Tech. Construction Engineering &amp; Management</v>
      </c>
      <c r="D3" t="str" s="12">
        <v>I</v>
      </c>
      <c r="E3" t="str" s="12">
        <v>2026-27</v>
      </c>
      <c r="F3" t="str" s="12">
        <v>Oct 2026 TEST</v>
      </c>
      <c r="G3" t="str" s="12">
        <v>Non-Architecture</v>
      </c>
      <c r="H3" s="12"/>
      <c r="I3" t="str" s="12">
        <v>TEST ONLY</v>
      </c>
    </row>
    <row r="4">
      <c r="A4" t="str" s="12">
        <v>TEST1005</v>
      </c>
      <c r="B4" t="str" s="12">
        <v>Test Student 1-05 (PENDING)</v>
      </c>
      <c r="C4" t="str" s="12">
        <v>[TEST] B.Tech. Construction Engineering &amp; Management</v>
      </c>
      <c r="D4" t="str" s="12">
        <v>I</v>
      </c>
      <c r="E4" t="str" s="12">
        <v>2026-27</v>
      </c>
      <c r="F4" t="str" s="12">
        <v>Oct 2026 TEST</v>
      </c>
      <c r="G4" t="str" s="12">
        <v>Non-Architecture</v>
      </c>
      <c r="H4" s="12"/>
      <c r="I4" t="str" s="12">
        <v>TEST ONLY</v>
      </c>
    </row>
    <row r="5">
      <c r="A5" t="str" s="12">
        <v>TEST5001</v>
      </c>
      <c r="B5" t="str" s="12">
        <v>Test Student 5-01 (PASS)</v>
      </c>
      <c r="C5" t="str" s="12">
        <v>[TEST] B.Arch. Architecture</v>
      </c>
      <c r="D5" t="str" s="12">
        <v>I</v>
      </c>
      <c r="E5" t="str" s="12">
        <v>2026-27</v>
      </c>
      <c r="F5" t="str" s="12">
        <v>Oct 2026 TEST</v>
      </c>
      <c r="G5" t="str" s="12">
        <v>Architecture</v>
      </c>
      <c r="H5" s="12"/>
      <c r="I5" t="str" s="12">
        <v>TEST ONLY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18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18" hidden="0" customWidth="1"/>
  </cols>
  <sheetData>
    <row r="1" ht="36" customHeight="1">
      <c r="A1" s="8" t="str">
        <v>ID</v>
      </c>
      <c r="B1" s="8" t="str">
        <v>PRN</v>
      </c>
      <c r="C1" s="8" t="str">
        <v>Name of the Student</v>
      </c>
      <c r="D1" s="8" t="str">
        <v>CM_Course_Name</v>
      </c>
      <c r="E1" s="8" t="str">
        <v>Semester</v>
      </c>
      <c r="F1" s="8" t="str">
        <v>PaperCode</v>
      </c>
      <c r="G1" s="8" t="str">
        <v>SM_Subject_Name</v>
      </c>
      <c r="H1" s="8" t="str">
        <v>Academic_Year</v>
      </c>
      <c r="I1" s="8" t="str">
        <v>Exam Year</v>
      </c>
      <c r="J1" s="8" t="str">
        <v>Assessment_Type</v>
      </c>
      <c r="K1" s="8" t="str">
        <v>Theory</v>
      </c>
      <c r="L1" s="8" t="str">
        <v>Practical</v>
      </c>
      <c r="M1" s="8" t="str">
        <v>Skills</v>
      </c>
      <c r="N1" s="8" t="str">
        <v>Theory_Max</v>
      </c>
      <c r="O1" s="8" t="str">
        <v>Practical_Max</v>
      </c>
      <c r="P1" s="8" t="str">
        <v>Skills_Max</v>
      </c>
      <c r="Q1" s="8" t="str">
        <v>Validation</v>
      </c>
      <c r="R1" s="8" t="str">
        <v>Course_Row</v>
      </c>
      <c r="S1" s="8" t="str">
        <v>ESE_Eligibility</v>
      </c>
      <c r="T1" s="8" t="str">
        <v>Integer_Marks</v>
      </c>
    </row>
    <row r="2">
      <c r="A2" s="9" t="n">
        <v>1</v>
      </c>
      <c r="B2" s="13" t="str">
        <v>TEST1001</v>
      </c>
      <c r="C2" s="13" t="str">
        <v>Test Student 1-01 (PASS)</v>
      </c>
      <c r="D2" s="13" t="str">
        <v>[TEST] B.Tech. Construction Engineering &amp; Management</v>
      </c>
      <c r="E2" s="13" t="str">
        <v>I</v>
      </c>
      <c r="F2" s="13" t="str">
        <v>T101</v>
      </c>
      <c r="G2" s="13" t="str">
        <v>Integrated Foundation</v>
      </c>
      <c r="H2" s="13" t="str">
        <v>2026-27</v>
      </c>
      <c r="I2" s="13" t="str">
        <v>Oct 2026 TEST</v>
      </c>
      <c r="J2" s="13" t="str">
        <v>CA1</v>
      </c>
      <c r="K2" s="13" t="n">
        <v>8</v>
      </c>
      <c r="L2" s="13" t="n">
        <v>8</v>
      </c>
      <c r="M2" s="13" t="n">
        <v>8</v>
      </c>
      <c r="N2" s="9" t="n">
        <f>IF(INDEX('Course_Config'!$H$2:$H$7,R2)=0,0,IF(J2="ESE",INDEX('Course_Config'!$T$2:$T$7,R2),IF(J2="CA1",INDEX('Course_Config'!$K$2:$K$7,R2),IF(J2="CA2",INDEX('Course_Config'!$L$2:$L$7,R2),INDEX('Course_Config'!$M$2:$M$7,R2)))))</f>
        <v>10</v>
      </c>
      <c r="O2" s="9" t="n">
        <f>IF(INDEX('Course_Config'!$I$2:$I$7,R2)=0,0,IF(J2="ESE",INDEX('Course_Config'!$U$2:$U$7,R2),IF(J2="CA1",INDEX('Course_Config'!$N$2:$N$7,R2),IF(J2="CA2",INDEX('Course_Config'!$O$2:$O$7,R2),INDEX('Course_Config'!$P$2:$P$7,R2)))))</f>
        <v>10</v>
      </c>
      <c r="P2" s="9" t="n">
        <f>IF(INDEX('Course_Config'!$J$2:$J$7,R2)=0,0,IF(J2="ESE",INDEX('Course_Config'!$V$2:$V$7,R2),IF(J2="CA1",INDEX('Course_Config'!$Q$2:$Q$7,R2),IF(J2="CA2",INDEX('Course_Config'!$R$2:$R$7,R2),INDEX('Course_Config'!$S$2:$S$7,R2)))))</f>
        <v>10</v>
      </c>
      <c r="Q2" s="9" t="str">
        <f>IF(AND(IF(N2=0,OR(K2="",K2=0),OR(K2="",K2="AB",AND(ISNUMBER(K2),K2&gt;=0,K2&lt;=N2))),IF(O2=0,OR(L2="",L2=0),OR(L2="",L2="AB",AND(ISNUMBER(L2),L2&gt;=0,L2&lt;=O2))),IF(P2=0,OR(M2="",M2=0),OR(M2="",M2="AB",AND(ISNUMBER(M2),M2&gt;=0,M2&lt;=P2)))),"OK","INVALID")</f>
        <v>OK</v>
      </c>
      <c r="R2" s="9" t="n">
        <f>SUMIFS('Course_Config'!$AK$2:$AK$7,'Course_Config'!$AA$2:$AA$7,D2&amp;"|"&amp;F2&amp;"|"&amp;E2)</f>
        <v>1</v>
      </c>
      <c r="S2" s="9" t="str">
        <f>IF(COUNTIFS('Results'!$A$2:$A$13,B2,'Results'!$C$2:$C$13,F2,'Results'!$AP$2:$AP$13,D2,'Results'!$AK$2:$AK$13,E2,'Results'!$AI$2:$AI$13,H2,'Results'!$AJ$2:$AJ$13,I2,'Results'!$J$2:$J$13,"TG")=1,"TG","BLOCKED")</f>
        <v>TG</v>
      </c>
      <c r="T2" s="9" t="n">
        <f>INDEX('Course_Config'!$AH$2:$AH$7,R2)</f>
        <v>0</v>
      </c>
    </row>
    <row r="3">
      <c r="A3" s="9" t="n">
        <v>2</v>
      </c>
      <c r="B3" s="13" t="str">
        <v>TEST1001</v>
      </c>
      <c r="C3" s="13" t="str">
        <v>Test Student 1-01 (PASS)</v>
      </c>
      <c r="D3" s="13" t="str">
        <v>[TEST] B.Tech. Construction Engineering &amp; Management</v>
      </c>
      <c r="E3" s="13" t="str">
        <v>I</v>
      </c>
      <c r="F3" s="13" t="str">
        <v>T101</v>
      </c>
      <c r="G3" s="13" t="str">
        <v>Integrated Foundation</v>
      </c>
      <c r="H3" s="13" t="str">
        <v>2026-27</v>
      </c>
      <c r="I3" s="13" t="str">
        <v>Oct 2026 TEST</v>
      </c>
      <c r="J3" s="13" t="str">
        <v>CA2</v>
      </c>
      <c r="K3" s="13" t="n">
        <v>8</v>
      </c>
      <c r="L3" s="13" t="n">
        <v>8</v>
      </c>
      <c r="M3" s="13" t="n">
        <v>8</v>
      </c>
      <c r="N3" s="9" t="n">
        <f>IF(INDEX('Course_Config'!$H$2:$H$7,R3)=0,0,IF(J3="ESE",INDEX('Course_Config'!$T$2:$T$7,R3),IF(J3="CA1",INDEX('Course_Config'!$K$2:$K$7,R3),IF(J3="CA2",INDEX('Course_Config'!$L$2:$L$7,R3),INDEX('Course_Config'!$M$2:$M$7,R3)))))</f>
        <v>10</v>
      </c>
      <c r="O3" s="9" t="n">
        <f>IF(INDEX('Course_Config'!$I$2:$I$7,R3)=0,0,IF(J3="ESE",INDEX('Course_Config'!$U$2:$U$7,R3),IF(J3="CA1",INDEX('Course_Config'!$N$2:$N$7,R3),IF(J3="CA2",INDEX('Course_Config'!$O$2:$O$7,R3),INDEX('Course_Config'!$P$2:$P$7,R3)))))</f>
        <v>10</v>
      </c>
      <c r="P3" s="9" t="n">
        <f>IF(INDEX('Course_Config'!$J$2:$J$7,R3)=0,0,IF(J3="ESE",INDEX('Course_Config'!$V$2:$V$7,R3),IF(J3="CA1",INDEX('Course_Config'!$Q$2:$Q$7,R3),IF(J3="CA2",INDEX('Course_Config'!$R$2:$R$7,R3),INDEX('Course_Config'!$S$2:$S$7,R3)))))</f>
        <v>10</v>
      </c>
      <c r="Q3" s="9" t="str">
        <f>IF(AND(IF(N3=0,OR(K3="",K3=0),OR(K3="",K3="AB",AND(ISNUMBER(K3),K3&gt;=0,K3&lt;=N3))),IF(O3=0,OR(L3="",L3=0),OR(L3="",L3="AB",AND(ISNUMBER(L3),L3&gt;=0,L3&lt;=O3))),IF(P3=0,OR(M3="",M3=0),OR(M3="",M3="AB",AND(ISNUMBER(M3),M3&gt;=0,M3&lt;=P3)))),"OK","INVALID")</f>
        <v>OK</v>
      </c>
      <c r="R3" s="9" t="n">
        <f>SUMIFS('Course_Config'!$AK$2:$AK$7,'Course_Config'!$AA$2:$AA$7,D3&amp;"|"&amp;F3&amp;"|"&amp;E3)</f>
        <v>1</v>
      </c>
      <c r="S3" s="9" t="str">
        <f>IF(COUNTIFS('Results'!$A$2:$A$13,B3,'Results'!$C$2:$C$13,F3,'Results'!$AP$2:$AP$13,D3,'Results'!$AK$2:$AK$13,E3,'Results'!$AI$2:$AI$13,H3,'Results'!$AJ$2:$AJ$13,I3,'Results'!$J$2:$J$13,"TG")=1,"TG","BLOCKED")</f>
        <v>TG</v>
      </c>
      <c r="T3" s="9" t="n">
        <f>INDEX('Course_Config'!$AH$2:$AH$7,R3)</f>
        <v>0</v>
      </c>
    </row>
    <row r="4">
      <c r="A4" s="9" t="n">
        <v>3</v>
      </c>
      <c r="B4" s="13" t="str">
        <v>TEST1001</v>
      </c>
      <c r="C4" s="13" t="str">
        <v>Test Student 1-01 (PASS)</v>
      </c>
      <c r="D4" s="13" t="str">
        <v>[TEST] B.Tech. Construction Engineering &amp; Management</v>
      </c>
      <c r="E4" s="13" t="str">
        <v>I</v>
      </c>
      <c r="F4" s="13" t="str">
        <v>T101</v>
      </c>
      <c r="G4" s="13" t="str">
        <v>Integrated Foundation</v>
      </c>
      <c r="H4" s="13" t="str">
        <v>2026-27</v>
      </c>
      <c r="I4" s="13" t="str">
        <v>Oct 2026 TEST</v>
      </c>
      <c r="J4" s="13" t="str">
        <v>CA3</v>
      </c>
      <c r="K4" s="13" t="n">
        <v>8</v>
      </c>
      <c r="L4" s="13" t="n">
        <v>8</v>
      </c>
      <c r="M4" s="13" t="n">
        <v>8</v>
      </c>
      <c r="N4" s="9" t="n">
        <f>IF(INDEX('Course_Config'!$H$2:$H$7,R4)=0,0,IF(J4="ESE",INDEX('Course_Config'!$T$2:$T$7,R4),IF(J4="CA1",INDEX('Course_Config'!$K$2:$K$7,R4),IF(J4="CA2",INDEX('Course_Config'!$L$2:$L$7,R4),INDEX('Course_Config'!$M$2:$M$7,R4)))))</f>
        <v>10</v>
      </c>
      <c r="O4" s="9" t="n">
        <f>IF(INDEX('Course_Config'!$I$2:$I$7,R4)=0,0,IF(J4="ESE",INDEX('Course_Config'!$U$2:$U$7,R4),IF(J4="CA1",INDEX('Course_Config'!$N$2:$N$7,R4),IF(J4="CA2",INDEX('Course_Config'!$O$2:$O$7,R4),INDEX('Course_Config'!$P$2:$P$7,R4)))))</f>
        <v>10</v>
      </c>
      <c r="P4" s="9" t="n">
        <f>IF(INDEX('Course_Config'!$J$2:$J$7,R4)=0,0,IF(J4="ESE",INDEX('Course_Config'!$V$2:$V$7,R4),IF(J4="CA1",INDEX('Course_Config'!$Q$2:$Q$7,R4),IF(J4="CA2",INDEX('Course_Config'!$R$2:$R$7,R4),INDEX('Course_Config'!$S$2:$S$7,R4)))))</f>
        <v>10</v>
      </c>
      <c r="Q4" s="9" t="str">
        <f>IF(AND(IF(N4=0,OR(K4="",K4=0),OR(K4="",K4="AB",AND(ISNUMBER(K4),K4&gt;=0,K4&lt;=N4))),IF(O4=0,OR(L4="",L4=0),OR(L4="",L4="AB",AND(ISNUMBER(L4),L4&gt;=0,L4&lt;=O4))),IF(P4=0,OR(M4="",M4=0),OR(M4="",M4="AB",AND(ISNUMBER(M4),M4&gt;=0,M4&lt;=P4)))),"OK","INVALID")</f>
        <v>OK</v>
      </c>
      <c r="R4" s="9" t="n">
        <f>SUMIFS('Course_Config'!$AK$2:$AK$7,'Course_Config'!$AA$2:$AA$7,D4&amp;"|"&amp;F4&amp;"|"&amp;E4)</f>
        <v>1</v>
      </c>
      <c r="S4" s="9" t="str">
        <f>IF(COUNTIFS('Results'!$A$2:$A$13,B4,'Results'!$C$2:$C$13,F4,'Results'!$AP$2:$AP$13,D4,'Results'!$AK$2:$AK$13,E4,'Results'!$AI$2:$AI$13,H4,'Results'!$AJ$2:$AJ$13,I4,'Results'!$J$2:$J$13,"TG")=1,"TG","BLOCKED")</f>
        <v>TG</v>
      </c>
      <c r="T4" s="9" t="n">
        <f>INDEX('Course_Config'!$AH$2:$AH$7,R4)</f>
        <v>0</v>
      </c>
    </row>
    <row r="5">
      <c r="A5" s="9" t="n">
        <v>4</v>
      </c>
      <c r="B5" s="13" t="str">
        <v>TEST1001</v>
      </c>
      <c r="C5" s="13" t="str">
        <v>Test Student 1-01 (PASS)</v>
      </c>
      <c r="D5" s="13" t="str">
        <v>[TEST] B.Tech. Construction Engineering &amp; Management</v>
      </c>
      <c r="E5" s="13" t="str">
        <v>I</v>
      </c>
      <c r="F5" s="13" t="str">
        <v>T101</v>
      </c>
      <c r="G5" s="13" t="str">
        <v>Integrated Foundation</v>
      </c>
      <c r="H5" s="13" t="str">
        <v>2026-27</v>
      </c>
      <c r="I5" s="13" t="str">
        <v>Oct 2026 TEST</v>
      </c>
      <c r="J5" s="13" t="str">
        <v>ESE</v>
      </c>
      <c r="K5" s="13" t="n">
        <v>24</v>
      </c>
      <c r="L5" s="13" t="n">
        <v>24</v>
      </c>
      <c r="M5" s="13" t="n">
        <v>24</v>
      </c>
      <c r="N5" s="9" t="n">
        <f>IF(INDEX('Course_Config'!$H$2:$H$7,R5)=0,0,IF(J5="ESE",INDEX('Course_Config'!$T$2:$T$7,R5),IF(J5="CA1",INDEX('Course_Config'!$K$2:$K$7,R5),IF(J5="CA2",INDEX('Course_Config'!$L$2:$L$7,R5),INDEX('Course_Config'!$M$2:$M$7,R5)))))</f>
        <v>30</v>
      </c>
      <c r="O5" s="9" t="n">
        <f>IF(INDEX('Course_Config'!$I$2:$I$7,R5)=0,0,IF(J5="ESE",INDEX('Course_Config'!$U$2:$U$7,R5),IF(J5="CA1",INDEX('Course_Config'!$N$2:$N$7,R5),IF(J5="CA2",INDEX('Course_Config'!$O$2:$O$7,R5),INDEX('Course_Config'!$P$2:$P$7,R5)))))</f>
        <v>30</v>
      </c>
      <c r="P5" s="9" t="n">
        <f>IF(INDEX('Course_Config'!$J$2:$J$7,R5)=0,0,IF(J5="ESE",INDEX('Course_Config'!$V$2:$V$7,R5),IF(J5="CA1",INDEX('Course_Config'!$Q$2:$Q$7,R5),IF(J5="CA2",INDEX('Course_Config'!$R$2:$R$7,R5),INDEX('Course_Config'!$S$2:$S$7,R5)))))</f>
        <v>30</v>
      </c>
      <c r="Q5" s="9" t="str">
        <f>IF(AND(IF(N5=0,OR(K5="",K5=0),OR(K5="",K5="AB",AND(ISNUMBER(K5),K5&gt;=0,K5&lt;=N5))),IF(O5=0,OR(L5="",L5=0),OR(L5="",L5="AB",AND(ISNUMBER(L5),L5&gt;=0,L5&lt;=O5))),IF(P5=0,OR(M5="",M5=0),OR(M5="",M5="AB",AND(ISNUMBER(M5),M5&gt;=0,M5&lt;=P5)))),"OK","INVALID")</f>
        <v>OK</v>
      </c>
      <c r="R5" s="9" t="n">
        <f>SUMIFS('Course_Config'!$AK$2:$AK$7,'Course_Config'!$AA$2:$AA$7,D5&amp;"|"&amp;F5&amp;"|"&amp;E5)</f>
        <v>1</v>
      </c>
      <c r="S5" s="9" t="str">
        <f>IF(COUNTIFS('Results'!$A$2:$A$13,B5,'Results'!$C$2:$C$13,F5,'Results'!$AP$2:$AP$13,D5,'Results'!$AK$2:$AK$13,E5,'Results'!$AI$2:$AI$13,H5,'Results'!$AJ$2:$AJ$13,I5,'Results'!$J$2:$J$13,"TG")=1,"TG","BLOCKED")</f>
        <v>TG</v>
      </c>
      <c r="T5" s="9" t="n">
        <f>INDEX('Course_Config'!$AH$2:$AH$7,R5)</f>
        <v>0</v>
      </c>
    </row>
    <row r="6">
      <c r="A6" s="9" t="n">
        <v>5</v>
      </c>
      <c r="B6" s="13" t="str">
        <v>TEST1003</v>
      </c>
      <c r="C6" s="13" t="str">
        <v>Test Student 1-03 (TNG)</v>
      </c>
      <c r="D6" s="13" t="str">
        <v>[TEST] B.Tech. Construction Engineering &amp; Management</v>
      </c>
      <c r="E6" s="13" t="str">
        <v>I</v>
      </c>
      <c r="F6" s="13" t="str">
        <v>T101</v>
      </c>
      <c r="G6" s="13" t="str">
        <v>Integrated Foundation</v>
      </c>
      <c r="H6" s="13" t="str">
        <v>2026-27</v>
      </c>
      <c r="I6" s="13" t="str">
        <v>Oct 2026 TEST</v>
      </c>
      <c r="J6" s="13" t="str">
        <v>CA1</v>
      </c>
      <c r="K6" s="13" t="n">
        <v>3</v>
      </c>
      <c r="L6" s="13" t="n">
        <v>3</v>
      </c>
      <c r="M6" s="13" t="n">
        <v>3</v>
      </c>
      <c r="N6" s="9" t="n">
        <f>IF(INDEX('Course_Config'!$H$2:$H$7,R6)=0,0,IF(J6="ESE",INDEX('Course_Config'!$T$2:$T$7,R6),IF(J6="CA1",INDEX('Course_Config'!$K$2:$K$7,R6),IF(J6="CA2",INDEX('Course_Config'!$L$2:$L$7,R6),INDEX('Course_Config'!$M$2:$M$7,R6)))))</f>
        <v>10</v>
      </c>
      <c r="O6" s="9" t="n">
        <f>IF(INDEX('Course_Config'!$I$2:$I$7,R6)=0,0,IF(J6="ESE",INDEX('Course_Config'!$U$2:$U$7,R6),IF(J6="CA1",INDEX('Course_Config'!$N$2:$N$7,R6),IF(J6="CA2",INDEX('Course_Config'!$O$2:$O$7,R6),INDEX('Course_Config'!$P$2:$P$7,R6)))))</f>
        <v>10</v>
      </c>
      <c r="P6" s="9" t="n">
        <f>IF(INDEX('Course_Config'!$J$2:$J$7,R6)=0,0,IF(J6="ESE",INDEX('Course_Config'!$V$2:$V$7,R6),IF(J6="CA1",INDEX('Course_Config'!$Q$2:$Q$7,R6),IF(J6="CA2",INDEX('Course_Config'!$R$2:$R$7,R6),INDEX('Course_Config'!$S$2:$S$7,R6)))))</f>
        <v>10</v>
      </c>
      <c r="Q6" s="9" t="str">
        <f>IF(AND(IF(N6=0,OR(K6="",K6=0),OR(K6="",K6="AB",AND(ISNUMBER(K6),K6&gt;=0,K6&lt;=N6))),IF(O6=0,OR(L6="",L6=0),OR(L6="",L6="AB",AND(ISNUMBER(L6),L6&gt;=0,L6&lt;=O6))),IF(P6=0,OR(M6="",M6=0),OR(M6="",M6="AB",AND(ISNUMBER(M6),M6&gt;=0,M6&lt;=P6)))),"OK","INVALID")</f>
        <v>OK</v>
      </c>
      <c r="R6" s="9" t="n">
        <f>SUMIFS('Course_Config'!$AK$2:$AK$7,'Course_Config'!$AA$2:$AA$7,D6&amp;"|"&amp;F6&amp;"|"&amp;E6)</f>
        <v>1</v>
      </c>
      <c r="S6" s="9" t="str">
        <f>IF(COUNTIFS('Results'!$A$2:$A$13,B6,'Results'!$C$2:$C$13,F6,'Results'!$AP$2:$AP$13,D6,'Results'!$AK$2:$AK$13,E6,'Results'!$AI$2:$AI$13,H6,'Results'!$AJ$2:$AJ$13,I6,'Results'!$J$2:$J$13,"TG")=1,"TG","BLOCKED")</f>
        <v>BLOCKED</v>
      </c>
      <c r="T6" s="9" t="n">
        <f>INDEX('Course_Config'!$AH$2:$AH$7,R6)</f>
        <v>0</v>
      </c>
    </row>
    <row r="7">
      <c r="A7" s="9" t="n">
        <v>6</v>
      </c>
      <c r="B7" s="13" t="str">
        <v>TEST1003</v>
      </c>
      <c r="C7" s="13" t="str">
        <v>Test Student 1-03 (TNG)</v>
      </c>
      <c r="D7" s="13" t="str">
        <v>[TEST] B.Tech. Construction Engineering &amp; Management</v>
      </c>
      <c r="E7" s="13" t="str">
        <v>I</v>
      </c>
      <c r="F7" s="13" t="str">
        <v>T101</v>
      </c>
      <c r="G7" s="13" t="str">
        <v>Integrated Foundation</v>
      </c>
      <c r="H7" s="13" t="str">
        <v>2026-27</v>
      </c>
      <c r="I7" s="13" t="str">
        <v>Oct 2026 TEST</v>
      </c>
      <c r="J7" s="13" t="str">
        <v>CA2</v>
      </c>
      <c r="K7" s="13" t="n">
        <v>3</v>
      </c>
      <c r="L7" s="13" t="n">
        <v>3</v>
      </c>
      <c r="M7" s="13" t="n">
        <v>3</v>
      </c>
      <c r="N7" s="9" t="n">
        <f>IF(INDEX('Course_Config'!$H$2:$H$7,R7)=0,0,IF(J7="ESE",INDEX('Course_Config'!$T$2:$T$7,R7),IF(J7="CA1",INDEX('Course_Config'!$K$2:$K$7,R7),IF(J7="CA2",INDEX('Course_Config'!$L$2:$L$7,R7),INDEX('Course_Config'!$M$2:$M$7,R7)))))</f>
        <v>10</v>
      </c>
      <c r="O7" s="9" t="n">
        <f>IF(INDEX('Course_Config'!$I$2:$I$7,R7)=0,0,IF(J7="ESE",INDEX('Course_Config'!$U$2:$U$7,R7),IF(J7="CA1",INDEX('Course_Config'!$N$2:$N$7,R7),IF(J7="CA2",INDEX('Course_Config'!$O$2:$O$7,R7),INDEX('Course_Config'!$P$2:$P$7,R7)))))</f>
        <v>10</v>
      </c>
      <c r="P7" s="9" t="n">
        <f>IF(INDEX('Course_Config'!$J$2:$J$7,R7)=0,0,IF(J7="ESE",INDEX('Course_Config'!$V$2:$V$7,R7),IF(J7="CA1",INDEX('Course_Config'!$Q$2:$Q$7,R7),IF(J7="CA2",INDEX('Course_Config'!$R$2:$R$7,R7),INDEX('Course_Config'!$S$2:$S$7,R7)))))</f>
        <v>10</v>
      </c>
      <c r="Q7" s="9" t="str">
        <f>IF(AND(IF(N7=0,OR(K7="",K7=0),OR(K7="",K7="AB",AND(ISNUMBER(K7),K7&gt;=0,K7&lt;=N7))),IF(O7=0,OR(L7="",L7=0),OR(L7="",L7="AB",AND(ISNUMBER(L7),L7&gt;=0,L7&lt;=O7))),IF(P7=0,OR(M7="",M7=0),OR(M7="",M7="AB",AND(ISNUMBER(M7),M7&gt;=0,M7&lt;=P7)))),"OK","INVALID")</f>
        <v>OK</v>
      </c>
      <c r="R7" s="9" t="n">
        <f>SUMIFS('Course_Config'!$AK$2:$AK$7,'Course_Config'!$AA$2:$AA$7,D7&amp;"|"&amp;F7&amp;"|"&amp;E7)</f>
        <v>1</v>
      </c>
      <c r="S7" s="9" t="str">
        <f>IF(COUNTIFS('Results'!$A$2:$A$13,B7,'Results'!$C$2:$C$13,F7,'Results'!$AP$2:$AP$13,D7,'Results'!$AK$2:$AK$13,E7,'Results'!$AI$2:$AI$13,H7,'Results'!$AJ$2:$AJ$13,I7,'Results'!$J$2:$J$13,"TG")=1,"TG","BLOCKED")</f>
        <v>BLOCKED</v>
      </c>
      <c r="T7" s="9" t="n">
        <f>INDEX('Course_Config'!$AH$2:$AH$7,R7)</f>
        <v>0</v>
      </c>
    </row>
    <row r="8">
      <c r="A8" s="9" t="n">
        <v>7</v>
      </c>
      <c r="B8" s="13" t="str">
        <v>TEST1003</v>
      </c>
      <c r="C8" s="13" t="str">
        <v>Test Student 1-03 (TNG)</v>
      </c>
      <c r="D8" s="13" t="str">
        <v>[TEST] B.Tech. Construction Engineering &amp; Management</v>
      </c>
      <c r="E8" s="13" t="str">
        <v>I</v>
      </c>
      <c r="F8" s="13" t="str">
        <v>T101</v>
      </c>
      <c r="G8" s="13" t="str">
        <v>Integrated Foundation</v>
      </c>
      <c r="H8" s="13" t="str">
        <v>2026-27</v>
      </c>
      <c r="I8" s="13" t="str">
        <v>Oct 2026 TEST</v>
      </c>
      <c r="J8" s="13" t="str">
        <v>CA3</v>
      </c>
      <c r="K8" s="13" t="n">
        <v>3</v>
      </c>
      <c r="L8" s="13" t="n">
        <v>3</v>
      </c>
      <c r="M8" s="13" t="n">
        <v>3</v>
      </c>
      <c r="N8" s="9" t="n">
        <f>IF(INDEX('Course_Config'!$H$2:$H$7,R8)=0,0,IF(J8="ESE",INDEX('Course_Config'!$T$2:$T$7,R8),IF(J8="CA1",INDEX('Course_Config'!$K$2:$K$7,R8),IF(J8="CA2",INDEX('Course_Config'!$L$2:$L$7,R8),INDEX('Course_Config'!$M$2:$M$7,R8)))))</f>
        <v>10</v>
      </c>
      <c r="O8" s="9" t="n">
        <f>IF(INDEX('Course_Config'!$I$2:$I$7,R8)=0,0,IF(J8="ESE",INDEX('Course_Config'!$U$2:$U$7,R8),IF(J8="CA1",INDEX('Course_Config'!$N$2:$N$7,R8),IF(J8="CA2",INDEX('Course_Config'!$O$2:$O$7,R8),INDEX('Course_Config'!$P$2:$P$7,R8)))))</f>
        <v>10</v>
      </c>
      <c r="P8" s="9" t="n">
        <f>IF(INDEX('Course_Config'!$J$2:$J$7,R8)=0,0,IF(J8="ESE",INDEX('Course_Config'!$V$2:$V$7,R8),IF(J8="CA1",INDEX('Course_Config'!$Q$2:$Q$7,R8),IF(J8="CA2",INDEX('Course_Config'!$R$2:$R$7,R8),INDEX('Course_Config'!$S$2:$S$7,R8)))))</f>
        <v>10</v>
      </c>
      <c r="Q8" s="9" t="str">
        <f>IF(AND(IF(N8=0,OR(K8="",K8=0),OR(K8="",K8="AB",AND(ISNUMBER(K8),K8&gt;=0,K8&lt;=N8))),IF(O8=0,OR(L8="",L8=0),OR(L8="",L8="AB",AND(ISNUMBER(L8),L8&gt;=0,L8&lt;=O8))),IF(P8=0,OR(M8="",M8=0),OR(M8="",M8="AB",AND(ISNUMBER(M8),M8&gt;=0,M8&lt;=P8)))),"OK","INVALID")</f>
        <v>OK</v>
      </c>
      <c r="R8" s="9" t="n">
        <f>SUMIFS('Course_Config'!$AK$2:$AK$7,'Course_Config'!$AA$2:$AA$7,D8&amp;"|"&amp;F8&amp;"|"&amp;E8)</f>
        <v>1</v>
      </c>
      <c r="S8" s="9" t="str">
        <f>IF(COUNTIFS('Results'!$A$2:$A$13,B8,'Results'!$C$2:$C$13,F8,'Results'!$AP$2:$AP$13,D8,'Results'!$AK$2:$AK$13,E8,'Results'!$AI$2:$AI$13,H8,'Results'!$AJ$2:$AJ$13,I8,'Results'!$J$2:$J$13,"TG")=1,"TG","BLOCKED")</f>
        <v>BLOCKED</v>
      </c>
      <c r="T8" s="9" t="n">
        <f>INDEX('Course_Config'!$AH$2:$AH$7,R8)</f>
        <v>0</v>
      </c>
    </row>
    <row r="9">
      <c r="A9" s="9" t="n">
        <v>8</v>
      </c>
      <c r="B9" s="13" t="str">
        <v>TEST1003</v>
      </c>
      <c r="C9" s="13" t="str">
        <v>Test Student 1-03 (TNG)</v>
      </c>
      <c r="D9" s="13" t="str">
        <v>[TEST] B.Tech. Construction Engineering &amp; Management</v>
      </c>
      <c r="E9" s="13" t="str">
        <v>I</v>
      </c>
      <c r="F9" s="13" t="str">
        <v>T101</v>
      </c>
      <c r="G9" s="13" t="str">
        <v>Integrated Foundation</v>
      </c>
      <c r="H9" s="13" t="str">
        <v>2026-27</v>
      </c>
      <c r="I9" s="13" t="str">
        <v>Oct 2026 TEST</v>
      </c>
      <c r="J9" s="13" t="str">
        <v>ESE</v>
      </c>
      <c r="K9" s="13"/>
      <c r="L9" s="13"/>
      <c r="M9" s="13"/>
      <c r="N9" s="9" t="n">
        <f>IF(INDEX('Course_Config'!$H$2:$H$7,R9)=0,0,IF(J9="ESE",INDEX('Course_Config'!$T$2:$T$7,R9),IF(J9="CA1",INDEX('Course_Config'!$K$2:$K$7,R9),IF(J9="CA2",INDEX('Course_Config'!$L$2:$L$7,R9),INDEX('Course_Config'!$M$2:$M$7,R9)))))</f>
        <v>30</v>
      </c>
      <c r="O9" s="9" t="n">
        <f>IF(INDEX('Course_Config'!$I$2:$I$7,R9)=0,0,IF(J9="ESE",INDEX('Course_Config'!$U$2:$U$7,R9),IF(J9="CA1",INDEX('Course_Config'!$N$2:$N$7,R9),IF(J9="CA2",INDEX('Course_Config'!$O$2:$O$7,R9),INDEX('Course_Config'!$P$2:$P$7,R9)))))</f>
        <v>30</v>
      </c>
      <c r="P9" s="9" t="n">
        <f>IF(INDEX('Course_Config'!$J$2:$J$7,R9)=0,0,IF(J9="ESE",INDEX('Course_Config'!$V$2:$V$7,R9),IF(J9="CA1",INDEX('Course_Config'!$Q$2:$Q$7,R9),IF(J9="CA2",INDEX('Course_Config'!$R$2:$R$7,R9),INDEX('Course_Config'!$S$2:$S$7,R9)))))</f>
        <v>30</v>
      </c>
      <c r="Q9" s="9" t="str">
        <f>IF(AND(IF(N9=0,OR(K9="",K9=0),OR(K9="",K9="AB",AND(ISNUMBER(K9),K9&gt;=0,K9&lt;=N9))),IF(O9=0,OR(L9="",L9=0),OR(L9="",L9="AB",AND(ISNUMBER(L9),L9&gt;=0,L9&lt;=O9))),IF(P9=0,OR(M9="",M9=0),OR(M9="",M9="AB",AND(ISNUMBER(M9),M9&gt;=0,M9&lt;=P9)))),"OK","INVALID")</f>
        <v>OK</v>
      </c>
      <c r="R9" s="9" t="n">
        <f>SUMIFS('Course_Config'!$AK$2:$AK$7,'Course_Config'!$AA$2:$AA$7,D9&amp;"|"&amp;F9&amp;"|"&amp;E9)</f>
        <v>1</v>
      </c>
      <c r="S9" s="9" t="str">
        <f>IF(COUNTIFS('Results'!$A$2:$A$13,B9,'Results'!$C$2:$C$13,F9,'Results'!$AP$2:$AP$13,D9,'Results'!$AK$2:$AK$13,E9,'Results'!$AI$2:$AI$13,H9,'Results'!$AJ$2:$AJ$13,I9,'Results'!$J$2:$J$13,"TG")=1,"TG","BLOCKED")</f>
        <v>BLOCKED</v>
      </c>
      <c r="T9" s="9" t="n">
        <f>INDEX('Course_Config'!$AH$2:$AH$7,R9)</f>
        <v>0</v>
      </c>
    </row>
    <row r="10">
      <c r="A10" s="9" t="n">
        <v>9</v>
      </c>
      <c r="B10" s="13" t="str">
        <v>TEST1005</v>
      </c>
      <c r="C10" s="13" t="str">
        <v>Test Student 1-05 (PENDING)</v>
      </c>
      <c r="D10" s="13" t="str">
        <v>[TEST] B.Tech. Construction Engineering &amp; Management</v>
      </c>
      <c r="E10" s="13" t="str">
        <v>I</v>
      </c>
      <c r="F10" s="13" t="str">
        <v>T101</v>
      </c>
      <c r="G10" s="13" t="str">
        <v>Integrated Foundation</v>
      </c>
      <c r="H10" s="13" t="str">
        <v>2026-27</v>
      </c>
      <c r="I10" s="13" t="str">
        <v>Oct 2026 TEST</v>
      </c>
      <c r="J10" s="13" t="str">
        <v>CA1</v>
      </c>
      <c r="K10" s="13" t="n">
        <v>8</v>
      </c>
      <c r="L10" s="13" t="n">
        <v>8</v>
      </c>
      <c r="M10" s="13" t="n">
        <v>8</v>
      </c>
      <c r="N10" s="9" t="n">
        <f>IF(INDEX('Course_Config'!$H$2:$H$7,R10)=0,0,IF(J10="ESE",INDEX('Course_Config'!$T$2:$T$7,R10),IF(J10="CA1",INDEX('Course_Config'!$K$2:$K$7,R10),IF(J10="CA2",INDEX('Course_Config'!$L$2:$L$7,R10),INDEX('Course_Config'!$M$2:$M$7,R10)))))</f>
        <v>10</v>
      </c>
      <c r="O10" s="9" t="n">
        <f>IF(INDEX('Course_Config'!$I$2:$I$7,R10)=0,0,IF(J10="ESE",INDEX('Course_Config'!$U$2:$U$7,R10),IF(J10="CA1",INDEX('Course_Config'!$N$2:$N$7,R10),IF(J10="CA2",INDEX('Course_Config'!$O$2:$O$7,R10),INDEX('Course_Config'!$P$2:$P$7,R10)))))</f>
        <v>10</v>
      </c>
      <c r="P10" s="9" t="n">
        <f>IF(INDEX('Course_Config'!$J$2:$J$7,R10)=0,0,IF(J10="ESE",INDEX('Course_Config'!$V$2:$V$7,R10),IF(J10="CA1",INDEX('Course_Config'!$Q$2:$Q$7,R10),IF(J10="CA2",INDEX('Course_Config'!$R$2:$R$7,R10),INDEX('Course_Config'!$S$2:$S$7,R10)))))</f>
        <v>10</v>
      </c>
      <c r="Q10" s="9" t="str">
        <f>IF(AND(IF(N10=0,OR(K10="",K10=0),OR(K10="",K10="AB",AND(ISNUMBER(K10),K10&gt;=0,K10&lt;=N10))),IF(O10=0,OR(L10="",L10=0),OR(L10="",L10="AB",AND(ISNUMBER(L10),L10&gt;=0,L10&lt;=O10))),IF(P10=0,OR(M10="",M10=0),OR(M10="",M10="AB",AND(ISNUMBER(M10),M10&gt;=0,M10&lt;=P10)))),"OK","INVALID")</f>
        <v>OK</v>
      </c>
      <c r="R10" s="9" t="n">
        <f>SUMIFS('Course_Config'!$AK$2:$AK$7,'Course_Config'!$AA$2:$AA$7,D10&amp;"|"&amp;F10&amp;"|"&amp;E10)</f>
        <v>1</v>
      </c>
      <c r="S10" s="9" t="str">
        <f>IF(COUNTIFS('Results'!$A$2:$A$13,B10,'Results'!$C$2:$C$13,F10,'Results'!$AP$2:$AP$13,D10,'Results'!$AK$2:$AK$13,E10,'Results'!$AI$2:$AI$13,H10,'Results'!$AJ$2:$AJ$13,I10,'Results'!$J$2:$J$13,"TG")=1,"TG","BLOCKED")</f>
        <v>BLOCKED</v>
      </c>
      <c r="T10" s="9" t="n">
        <f>INDEX('Course_Config'!$AH$2:$AH$7,R10)</f>
        <v>0</v>
      </c>
    </row>
    <row r="11">
      <c r="A11" s="9" t="n">
        <v>10</v>
      </c>
      <c r="B11" s="13" t="str">
        <v>TEST1005</v>
      </c>
      <c r="C11" s="13" t="str">
        <v>Test Student 1-05 (PENDING)</v>
      </c>
      <c r="D11" s="13" t="str">
        <v>[TEST] B.Tech. Construction Engineering &amp; Management</v>
      </c>
      <c r="E11" s="13" t="str">
        <v>I</v>
      </c>
      <c r="F11" s="13" t="str">
        <v>T101</v>
      </c>
      <c r="G11" s="13" t="str">
        <v>Integrated Foundation</v>
      </c>
      <c r="H11" s="13" t="str">
        <v>2026-27</v>
      </c>
      <c r="I11" s="13" t="str">
        <v>Oct 2026 TEST</v>
      </c>
      <c r="J11" s="13" t="str">
        <v>CA2</v>
      </c>
      <c r="K11" s="13" t="n">
        <v>8</v>
      </c>
      <c r="L11" s="13" t="n">
        <v>8</v>
      </c>
      <c r="M11" s="13" t="n">
        <v>8</v>
      </c>
      <c r="N11" s="9" t="n">
        <f>IF(INDEX('Course_Config'!$H$2:$H$7,R11)=0,0,IF(J11="ESE",INDEX('Course_Config'!$T$2:$T$7,R11),IF(J11="CA1",INDEX('Course_Config'!$K$2:$K$7,R11),IF(J11="CA2",INDEX('Course_Config'!$L$2:$L$7,R11),INDEX('Course_Config'!$M$2:$M$7,R11)))))</f>
        <v>10</v>
      </c>
      <c r="O11" s="9" t="n">
        <f>IF(INDEX('Course_Config'!$I$2:$I$7,R11)=0,0,IF(J11="ESE",INDEX('Course_Config'!$U$2:$U$7,R11),IF(J11="CA1",INDEX('Course_Config'!$N$2:$N$7,R11),IF(J11="CA2",INDEX('Course_Config'!$O$2:$O$7,R11),INDEX('Course_Config'!$P$2:$P$7,R11)))))</f>
        <v>10</v>
      </c>
      <c r="P11" s="9" t="n">
        <f>IF(INDEX('Course_Config'!$J$2:$J$7,R11)=0,0,IF(J11="ESE",INDEX('Course_Config'!$V$2:$V$7,R11),IF(J11="CA1",INDEX('Course_Config'!$Q$2:$Q$7,R11),IF(J11="CA2",INDEX('Course_Config'!$R$2:$R$7,R11),INDEX('Course_Config'!$S$2:$S$7,R11)))))</f>
        <v>10</v>
      </c>
      <c r="Q11" s="9" t="str">
        <f>IF(AND(IF(N11=0,OR(K11="",K11=0),OR(K11="",K11="AB",AND(ISNUMBER(K11),K11&gt;=0,K11&lt;=N11))),IF(O11=0,OR(L11="",L11=0),OR(L11="",L11="AB",AND(ISNUMBER(L11),L11&gt;=0,L11&lt;=O11))),IF(P11=0,OR(M11="",M11=0),OR(M11="",M11="AB",AND(ISNUMBER(M11),M11&gt;=0,M11&lt;=P11)))),"OK","INVALID")</f>
        <v>OK</v>
      </c>
      <c r="R11" s="9" t="n">
        <f>SUMIFS('Course_Config'!$AK$2:$AK$7,'Course_Config'!$AA$2:$AA$7,D11&amp;"|"&amp;F11&amp;"|"&amp;E11)</f>
        <v>1</v>
      </c>
      <c r="S11" s="9" t="str">
        <f>IF(COUNTIFS('Results'!$A$2:$A$13,B11,'Results'!$C$2:$C$13,F11,'Results'!$AP$2:$AP$13,D11,'Results'!$AK$2:$AK$13,E11,'Results'!$AI$2:$AI$13,H11,'Results'!$AJ$2:$AJ$13,I11,'Results'!$J$2:$J$13,"TG")=1,"TG","BLOCKED")</f>
        <v>BLOCKED</v>
      </c>
      <c r="T11" s="9" t="n">
        <f>INDEX('Course_Config'!$AH$2:$AH$7,R11)</f>
        <v>0</v>
      </c>
    </row>
    <row r="12">
      <c r="A12" s="9" t="n">
        <v>11</v>
      </c>
      <c r="B12" s="13" t="str">
        <v>TEST1005</v>
      </c>
      <c r="C12" s="13" t="str">
        <v>Test Student 1-05 (PENDING)</v>
      </c>
      <c r="D12" s="13" t="str">
        <v>[TEST] B.Tech. Construction Engineering &amp; Management</v>
      </c>
      <c r="E12" s="13" t="str">
        <v>I</v>
      </c>
      <c r="F12" s="13" t="str">
        <v>T101</v>
      </c>
      <c r="G12" s="13" t="str">
        <v>Integrated Foundation</v>
      </c>
      <c r="H12" s="13" t="str">
        <v>2026-27</v>
      </c>
      <c r="I12" s="13" t="str">
        <v>Oct 2026 TEST</v>
      </c>
      <c r="J12" s="13" t="str">
        <v>CA3</v>
      </c>
      <c r="K12" s="13"/>
      <c r="L12" s="13"/>
      <c r="M12" s="13"/>
      <c r="N12" s="9" t="n">
        <f>IF(INDEX('Course_Config'!$H$2:$H$7,R12)=0,0,IF(J12="ESE",INDEX('Course_Config'!$T$2:$T$7,R12),IF(J12="CA1",INDEX('Course_Config'!$K$2:$K$7,R12),IF(J12="CA2",INDEX('Course_Config'!$L$2:$L$7,R12),INDEX('Course_Config'!$M$2:$M$7,R12)))))</f>
        <v>10</v>
      </c>
      <c r="O12" s="9" t="n">
        <f>IF(INDEX('Course_Config'!$I$2:$I$7,R12)=0,0,IF(J12="ESE",INDEX('Course_Config'!$U$2:$U$7,R12),IF(J12="CA1",INDEX('Course_Config'!$N$2:$N$7,R12),IF(J12="CA2",INDEX('Course_Config'!$O$2:$O$7,R12),INDEX('Course_Config'!$P$2:$P$7,R12)))))</f>
        <v>10</v>
      </c>
      <c r="P12" s="9" t="n">
        <f>IF(INDEX('Course_Config'!$J$2:$J$7,R12)=0,0,IF(J12="ESE",INDEX('Course_Config'!$V$2:$V$7,R12),IF(J12="CA1",INDEX('Course_Config'!$Q$2:$Q$7,R12),IF(J12="CA2",INDEX('Course_Config'!$R$2:$R$7,R12),INDEX('Course_Config'!$S$2:$S$7,R12)))))</f>
        <v>10</v>
      </c>
      <c r="Q12" s="9" t="str">
        <f>IF(AND(IF(N12=0,OR(K12="",K12=0),OR(K12="",K12="AB",AND(ISNUMBER(K12),K12&gt;=0,K12&lt;=N12))),IF(O12=0,OR(L12="",L12=0),OR(L12="",L12="AB",AND(ISNUMBER(L12),L12&gt;=0,L12&lt;=O12))),IF(P12=0,OR(M12="",M12=0),OR(M12="",M12="AB",AND(ISNUMBER(M12),M12&gt;=0,M12&lt;=P12)))),"OK","INVALID")</f>
        <v>OK</v>
      </c>
      <c r="R12" s="9" t="n">
        <f>SUMIFS('Course_Config'!$AK$2:$AK$7,'Course_Config'!$AA$2:$AA$7,D12&amp;"|"&amp;F12&amp;"|"&amp;E12)</f>
        <v>1</v>
      </c>
      <c r="S12" s="9" t="str">
        <f>IF(COUNTIFS('Results'!$A$2:$A$13,B12,'Results'!$C$2:$C$13,F12,'Results'!$AP$2:$AP$13,D12,'Results'!$AK$2:$AK$13,E12,'Results'!$AI$2:$AI$13,H12,'Results'!$AJ$2:$AJ$13,I12,'Results'!$J$2:$J$13,"TG")=1,"TG","BLOCKED")</f>
        <v>BLOCKED</v>
      </c>
      <c r="T12" s="9" t="n">
        <f>INDEX('Course_Config'!$AH$2:$AH$7,R12)</f>
        <v>0</v>
      </c>
    </row>
    <row r="13">
      <c r="A13" s="9" t="n">
        <v>12</v>
      </c>
      <c r="B13" s="13" t="str">
        <v>TEST1005</v>
      </c>
      <c r="C13" s="13" t="str">
        <v>Test Student 1-05 (PENDING)</v>
      </c>
      <c r="D13" s="13" t="str">
        <v>[TEST] B.Tech. Construction Engineering &amp; Management</v>
      </c>
      <c r="E13" s="13" t="str">
        <v>I</v>
      </c>
      <c r="F13" s="13" t="str">
        <v>T101</v>
      </c>
      <c r="G13" s="13" t="str">
        <v>Integrated Foundation</v>
      </c>
      <c r="H13" s="13" t="str">
        <v>2026-27</v>
      </c>
      <c r="I13" s="13" t="str">
        <v>Oct 2026 TEST</v>
      </c>
      <c r="J13" s="13" t="str">
        <v>ESE</v>
      </c>
      <c r="K13" s="13"/>
      <c r="L13" s="13"/>
      <c r="M13" s="13"/>
      <c r="N13" s="9" t="n">
        <f>IF(INDEX('Course_Config'!$H$2:$H$7,R13)=0,0,IF(J13="ESE",INDEX('Course_Config'!$T$2:$T$7,R13),IF(J13="CA1",INDEX('Course_Config'!$K$2:$K$7,R13),IF(J13="CA2",INDEX('Course_Config'!$L$2:$L$7,R13),INDEX('Course_Config'!$M$2:$M$7,R13)))))</f>
        <v>30</v>
      </c>
      <c r="O13" s="9" t="n">
        <f>IF(INDEX('Course_Config'!$I$2:$I$7,R13)=0,0,IF(J13="ESE",INDEX('Course_Config'!$U$2:$U$7,R13),IF(J13="CA1",INDEX('Course_Config'!$N$2:$N$7,R13),IF(J13="CA2",INDEX('Course_Config'!$O$2:$O$7,R13),INDEX('Course_Config'!$P$2:$P$7,R13)))))</f>
        <v>30</v>
      </c>
      <c r="P13" s="9" t="n">
        <f>IF(INDEX('Course_Config'!$J$2:$J$7,R13)=0,0,IF(J13="ESE",INDEX('Course_Config'!$V$2:$V$7,R13),IF(J13="CA1",INDEX('Course_Config'!$Q$2:$Q$7,R13),IF(J13="CA2",INDEX('Course_Config'!$R$2:$R$7,R13),INDEX('Course_Config'!$S$2:$S$7,R13)))))</f>
        <v>30</v>
      </c>
      <c r="Q13" s="9" t="str">
        <f>IF(AND(IF(N13=0,OR(K13="",K13=0),OR(K13="",K13="AB",AND(ISNUMBER(K13),K13&gt;=0,K13&lt;=N13))),IF(O13=0,OR(L13="",L13=0),OR(L13="",L13="AB",AND(ISNUMBER(L13),L13&gt;=0,L13&lt;=O13))),IF(P13=0,OR(M13="",M13=0),OR(M13="",M13="AB",AND(ISNUMBER(M13),M13&gt;=0,M13&lt;=P13)))),"OK","INVALID")</f>
        <v>OK</v>
      </c>
      <c r="R13" s="9" t="n">
        <f>SUMIFS('Course_Config'!$AK$2:$AK$7,'Course_Config'!$AA$2:$AA$7,D13&amp;"|"&amp;F13&amp;"|"&amp;E13)</f>
        <v>1</v>
      </c>
      <c r="S13" s="9" t="str">
        <f>IF(COUNTIFS('Results'!$A$2:$A$13,B13,'Results'!$C$2:$C$13,F13,'Results'!$AP$2:$AP$13,D13,'Results'!$AK$2:$AK$13,E13,'Results'!$AI$2:$AI$13,H13,'Results'!$AJ$2:$AJ$13,I13,'Results'!$J$2:$J$13,"TG")=1,"TG","BLOCKED")</f>
        <v>BLOCKED</v>
      </c>
      <c r="T13" s="9" t="n">
        <f>INDEX('Course_Config'!$AH$2:$AH$7,R13)</f>
        <v>0</v>
      </c>
    </row>
    <row r="14">
      <c r="A14" s="9" t="n">
        <v>13</v>
      </c>
      <c r="B14" s="13" t="str">
        <v>TEST1001</v>
      </c>
      <c r="C14" s="13" t="str">
        <v>Test Student 1-01 (PASS)</v>
      </c>
      <c r="D14" s="13" t="str">
        <v>[TEST] B.Tech. Construction Engineering &amp; Management</v>
      </c>
      <c r="E14" s="13" t="str">
        <v>I</v>
      </c>
      <c r="F14" s="13" t="str">
        <v>T102</v>
      </c>
      <c r="G14" s="13" t="str">
        <v>Applied Studio &amp; Skills</v>
      </c>
      <c r="H14" s="13" t="str">
        <v>2026-27</v>
      </c>
      <c r="I14" s="13" t="str">
        <v>Oct 2026 TEST</v>
      </c>
      <c r="J14" s="13" t="str">
        <v>CA1</v>
      </c>
      <c r="K14" s="13"/>
      <c r="L14" s="13" t="n">
        <v>8</v>
      </c>
      <c r="M14" s="13" t="n">
        <v>8</v>
      </c>
      <c r="N14" s="9" t="n">
        <f>IF(INDEX('Course_Config'!$H$2:$H$7,R14)=0,0,IF(J14="ESE",INDEX('Course_Config'!$T$2:$T$7,R14),IF(J14="CA1",INDEX('Course_Config'!$K$2:$K$7,R14),IF(J14="CA2",INDEX('Course_Config'!$L$2:$L$7,R14),INDEX('Course_Config'!$M$2:$M$7,R14)))))</f>
        <v>0</v>
      </c>
      <c r="O14" s="9" t="n">
        <f>IF(INDEX('Course_Config'!$I$2:$I$7,R14)=0,0,IF(J14="ESE",INDEX('Course_Config'!$U$2:$U$7,R14),IF(J14="CA1",INDEX('Course_Config'!$N$2:$N$7,R14),IF(J14="CA2",INDEX('Course_Config'!$O$2:$O$7,R14),INDEX('Course_Config'!$P$2:$P$7,R14)))))</f>
        <v>10</v>
      </c>
      <c r="P14" s="9" t="n">
        <f>IF(INDEX('Course_Config'!$J$2:$J$7,R14)=0,0,IF(J14="ESE",INDEX('Course_Config'!$V$2:$V$7,R14),IF(J14="CA1",INDEX('Course_Config'!$Q$2:$Q$7,R14),IF(J14="CA2",INDEX('Course_Config'!$R$2:$R$7,R14),INDEX('Course_Config'!$S$2:$S$7,R14)))))</f>
        <v>10</v>
      </c>
      <c r="Q14" s="9" t="str">
        <f>IF(AND(IF(N14=0,OR(K14="",K14=0),OR(K14="",K14="AB",AND(ISNUMBER(K14),K14&gt;=0,K14&lt;=N14))),IF(O14=0,OR(L14="",L14=0),OR(L14="",L14="AB",AND(ISNUMBER(L14),L14&gt;=0,L14&lt;=O14))),IF(P14=0,OR(M14="",M14=0),OR(M14="",M14="AB",AND(ISNUMBER(M14),M14&gt;=0,M14&lt;=P14)))),"OK","INVALID")</f>
        <v>OK</v>
      </c>
      <c r="R14" s="9" t="n">
        <f>SUMIFS('Course_Config'!$AK$2:$AK$7,'Course_Config'!$AA$2:$AA$7,D14&amp;"|"&amp;F14&amp;"|"&amp;E14)</f>
        <v>2</v>
      </c>
      <c r="S14" s="9" t="str">
        <f>IF(COUNTIFS('Results'!$A$2:$A$13,B14,'Results'!$C$2:$C$13,F14,'Results'!$AP$2:$AP$13,D14,'Results'!$AK$2:$AK$13,E14,'Results'!$AI$2:$AI$13,H14,'Results'!$AJ$2:$AJ$13,I14,'Results'!$J$2:$J$13,"TG")=1,"TG","BLOCKED")</f>
        <v>TG</v>
      </c>
      <c r="T14" s="9" t="n">
        <f>INDEX('Course_Config'!$AH$2:$AH$7,R14)</f>
        <v>0</v>
      </c>
    </row>
    <row r="15">
      <c r="A15" s="9" t="n">
        <v>14</v>
      </c>
      <c r="B15" s="13" t="str">
        <v>TEST1001</v>
      </c>
      <c r="C15" s="13" t="str">
        <v>Test Student 1-01 (PASS)</v>
      </c>
      <c r="D15" s="13" t="str">
        <v>[TEST] B.Tech. Construction Engineering &amp; Management</v>
      </c>
      <c r="E15" s="13" t="str">
        <v>I</v>
      </c>
      <c r="F15" s="13" t="str">
        <v>T102</v>
      </c>
      <c r="G15" s="13" t="str">
        <v>Applied Studio &amp; Skills</v>
      </c>
      <c r="H15" s="13" t="str">
        <v>2026-27</v>
      </c>
      <c r="I15" s="13" t="str">
        <v>Oct 2026 TEST</v>
      </c>
      <c r="J15" s="13" t="str">
        <v>CA2</v>
      </c>
      <c r="K15" s="13"/>
      <c r="L15" s="13" t="n">
        <v>8</v>
      </c>
      <c r="M15" s="13" t="n">
        <v>8</v>
      </c>
      <c r="N15" s="9" t="n">
        <f>IF(INDEX('Course_Config'!$H$2:$H$7,R15)=0,0,IF(J15="ESE",INDEX('Course_Config'!$T$2:$T$7,R15),IF(J15="CA1",INDEX('Course_Config'!$K$2:$K$7,R15),IF(J15="CA2",INDEX('Course_Config'!$L$2:$L$7,R15),INDEX('Course_Config'!$M$2:$M$7,R15)))))</f>
        <v>0</v>
      </c>
      <c r="O15" s="9" t="n">
        <f>IF(INDEX('Course_Config'!$I$2:$I$7,R15)=0,0,IF(J15="ESE",INDEX('Course_Config'!$U$2:$U$7,R15),IF(J15="CA1",INDEX('Course_Config'!$N$2:$N$7,R15),IF(J15="CA2",INDEX('Course_Config'!$O$2:$O$7,R15),INDEX('Course_Config'!$P$2:$P$7,R15)))))</f>
        <v>10</v>
      </c>
      <c r="P15" s="9" t="n">
        <f>IF(INDEX('Course_Config'!$J$2:$J$7,R15)=0,0,IF(J15="ESE",INDEX('Course_Config'!$V$2:$V$7,R15),IF(J15="CA1",INDEX('Course_Config'!$Q$2:$Q$7,R15),IF(J15="CA2",INDEX('Course_Config'!$R$2:$R$7,R15),INDEX('Course_Config'!$S$2:$S$7,R15)))))</f>
        <v>10</v>
      </c>
      <c r="Q15" s="9" t="str">
        <f>IF(AND(IF(N15=0,OR(K15="",K15=0),OR(K15="",K15="AB",AND(ISNUMBER(K15),K15&gt;=0,K15&lt;=N15))),IF(O15=0,OR(L15="",L15=0),OR(L15="",L15="AB",AND(ISNUMBER(L15),L15&gt;=0,L15&lt;=O15))),IF(P15=0,OR(M15="",M15=0),OR(M15="",M15="AB",AND(ISNUMBER(M15),M15&gt;=0,M15&lt;=P15)))),"OK","INVALID")</f>
        <v>OK</v>
      </c>
      <c r="R15" s="9" t="n">
        <f>SUMIFS('Course_Config'!$AK$2:$AK$7,'Course_Config'!$AA$2:$AA$7,D15&amp;"|"&amp;F15&amp;"|"&amp;E15)</f>
        <v>2</v>
      </c>
      <c r="S15" s="9" t="str">
        <f>IF(COUNTIFS('Results'!$A$2:$A$13,B15,'Results'!$C$2:$C$13,F15,'Results'!$AP$2:$AP$13,D15,'Results'!$AK$2:$AK$13,E15,'Results'!$AI$2:$AI$13,H15,'Results'!$AJ$2:$AJ$13,I15,'Results'!$J$2:$J$13,"TG")=1,"TG","BLOCKED")</f>
        <v>TG</v>
      </c>
      <c r="T15" s="9" t="n">
        <f>INDEX('Course_Config'!$AH$2:$AH$7,R15)</f>
        <v>0</v>
      </c>
    </row>
    <row r="16">
      <c r="A16" s="9" t="n">
        <v>15</v>
      </c>
      <c r="B16" s="13" t="str">
        <v>TEST1001</v>
      </c>
      <c r="C16" s="13" t="str">
        <v>Test Student 1-01 (PASS)</v>
      </c>
      <c r="D16" s="13" t="str">
        <v>[TEST] B.Tech. Construction Engineering &amp; Management</v>
      </c>
      <c r="E16" s="13" t="str">
        <v>I</v>
      </c>
      <c r="F16" s="13" t="str">
        <v>T102</v>
      </c>
      <c r="G16" s="13" t="str">
        <v>Applied Studio &amp; Skills</v>
      </c>
      <c r="H16" s="13" t="str">
        <v>2026-27</v>
      </c>
      <c r="I16" s="13" t="str">
        <v>Oct 2026 TEST</v>
      </c>
      <c r="J16" s="13" t="str">
        <v>CA3</v>
      </c>
      <c r="K16" s="13"/>
      <c r="L16" s="13" t="n">
        <v>8</v>
      </c>
      <c r="M16" s="13" t="n">
        <v>8</v>
      </c>
      <c r="N16" s="9" t="n">
        <f>IF(INDEX('Course_Config'!$H$2:$H$7,R16)=0,0,IF(J16="ESE",INDEX('Course_Config'!$T$2:$T$7,R16),IF(J16="CA1",INDEX('Course_Config'!$K$2:$K$7,R16),IF(J16="CA2",INDEX('Course_Config'!$L$2:$L$7,R16),INDEX('Course_Config'!$M$2:$M$7,R16)))))</f>
        <v>0</v>
      </c>
      <c r="O16" s="9" t="n">
        <f>IF(INDEX('Course_Config'!$I$2:$I$7,R16)=0,0,IF(J16="ESE",INDEX('Course_Config'!$U$2:$U$7,R16),IF(J16="CA1",INDEX('Course_Config'!$N$2:$N$7,R16),IF(J16="CA2",INDEX('Course_Config'!$O$2:$O$7,R16),INDEX('Course_Config'!$P$2:$P$7,R16)))))</f>
        <v>10</v>
      </c>
      <c r="P16" s="9" t="n">
        <f>IF(INDEX('Course_Config'!$J$2:$J$7,R16)=0,0,IF(J16="ESE",INDEX('Course_Config'!$V$2:$V$7,R16),IF(J16="CA1",INDEX('Course_Config'!$Q$2:$Q$7,R16),IF(J16="CA2",INDEX('Course_Config'!$R$2:$R$7,R16),INDEX('Course_Config'!$S$2:$S$7,R16)))))</f>
        <v>10</v>
      </c>
      <c r="Q16" s="9" t="str">
        <f>IF(AND(IF(N16=0,OR(K16="",K16=0),OR(K16="",K16="AB",AND(ISNUMBER(K16),K16&gt;=0,K16&lt;=N16))),IF(O16=0,OR(L16="",L16=0),OR(L16="",L16="AB",AND(ISNUMBER(L16),L16&gt;=0,L16&lt;=O16))),IF(P16=0,OR(M16="",M16=0),OR(M16="",M16="AB",AND(ISNUMBER(M16),M16&gt;=0,M16&lt;=P16)))),"OK","INVALID")</f>
        <v>OK</v>
      </c>
      <c r="R16" s="9" t="n">
        <f>SUMIFS('Course_Config'!$AK$2:$AK$7,'Course_Config'!$AA$2:$AA$7,D16&amp;"|"&amp;F16&amp;"|"&amp;E16)</f>
        <v>2</v>
      </c>
      <c r="S16" s="9" t="str">
        <f>IF(COUNTIFS('Results'!$A$2:$A$13,B16,'Results'!$C$2:$C$13,F16,'Results'!$AP$2:$AP$13,D16,'Results'!$AK$2:$AK$13,E16,'Results'!$AI$2:$AI$13,H16,'Results'!$AJ$2:$AJ$13,I16,'Results'!$J$2:$J$13,"TG")=1,"TG","BLOCKED")</f>
        <v>TG</v>
      </c>
      <c r="T16" s="9" t="n">
        <f>INDEX('Course_Config'!$AH$2:$AH$7,R16)</f>
        <v>0</v>
      </c>
    </row>
    <row r="17">
      <c r="A17" s="9" t="n">
        <v>16</v>
      </c>
      <c r="B17" s="13" t="str">
        <v>TEST1001</v>
      </c>
      <c r="C17" s="13" t="str">
        <v>Test Student 1-01 (PASS)</v>
      </c>
      <c r="D17" s="13" t="str">
        <v>[TEST] B.Tech. Construction Engineering &amp; Management</v>
      </c>
      <c r="E17" s="13" t="str">
        <v>I</v>
      </c>
      <c r="F17" s="13" t="str">
        <v>T102</v>
      </c>
      <c r="G17" s="13" t="str">
        <v>Applied Studio &amp; Skills</v>
      </c>
      <c r="H17" s="13" t="str">
        <v>2026-27</v>
      </c>
      <c r="I17" s="13" t="str">
        <v>Oct 2026 TEST</v>
      </c>
      <c r="J17" s="13" t="str">
        <v>ESE</v>
      </c>
      <c r="K17" s="13"/>
      <c r="L17" s="13" t="n">
        <v>24</v>
      </c>
      <c r="M17" s="13" t="n">
        <v>24</v>
      </c>
      <c r="N17" s="9" t="n">
        <f>IF(INDEX('Course_Config'!$H$2:$H$7,R17)=0,0,IF(J17="ESE",INDEX('Course_Config'!$T$2:$T$7,R17),IF(J17="CA1",INDEX('Course_Config'!$K$2:$K$7,R17),IF(J17="CA2",INDEX('Course_Config'!$L$2:$L$7,R17),INDEX('Course_Config'!$M$2:$M$7,R17)))))</f>
        <v>0</v>
      </c>
      <c r="O17" s="9" t="n">
        <f>IF(INDEX('Course_Config'!$I$2:$I$7,R17)=0,0,IF(J17="ESE",INDEX('Course_Config'!$U$2:$U$7,R17),IF(J17="CA1",INDEX('Course_Config'!$N$2:$N$7,R17),IF(J17="CA2",INDEX('Course_Config'!$O$2:$O$7,R17),INDEX('Course_Config'!$P$2:$P$7,R17)))))</f>
        <v>30</v>
      </c>
      <c r="P17" s="9" t="n">
        <f>IF(INDEX('Course_Config'!$J$2:$J$7,R17)=0,0,IF(J17="ESE",INDEX('Course_Config'!$V$2:$V$7,R17),IF(J17="CA1",INDEX('Course_Config'!$Q$2:$Q$7,R17),IF(J17="CA2",INDEX('Course_Config'!$R$2:$R$7,R17),INDEX('Course_Config'!$S$2:$S$7,R17)))))</f>
        <v>30</v>
      </c>
      <c r="Q17" s="9" t="str">
        <f>IF(AND(IF(N17=0,OR(K17="",K17=0),OR(K17="",K17="AB",AND(ISNUMBER(K17),K17&gt;=0,K17&lt;=N17))),IF(O17=0,OR(L17="",L17=0),OR(L17="",L17="AB",AND(ISNUMBER(L17),L17&gt;=0,L17&lt;=O17))),IF(P17=0,OR(M17="",M17=0),OR(M17="",M17="AB",AND(ISNUMBER(M17),M17&gt;=0,M17&lt;=P17)))),"OK","INVALID")</f>
        <v>OK</v>
      </c>
      <c r="R17" s="9" t="n">
        <f>SUMIFS('Course_Config'!$AK$2:$AK$7,'Course_Config'!$AA$2:$AA$7,D17&amp;"|"&amp;F17&amp;"|"&amp;E17)</f>
        <v>2</v>
      </c>
      <c r="S17" s="9" t="str">
        <f>IF(COUNTIFS('Results'!$A$2:$A$13,B17,'Results'!$C$2:$C$13,F17,'Results'!$AP$2:$AP$13,D17,'Results'!$AK$2:$AK$13,E17,'Results'!$AI$2:$AI$13,H17,'Results'!$AJ$2:$AJ$13,I17,'Results'!$J$2:$J$13,"TG")=1,"TG","BLOCKED")</f>
        <v>TG</v>
      </c>
      <c r="T17" s="9" t="n">
        <f>INDEX('Course_Config'!$AH$2:$AH$7,R17)</f>
        <v>0</v>
      </c>
    </row>
    <row r="18">
      <c r="A18" s="9" t="n">
        <v>17</v>
      </c>
      <c r="B18" s="13" t="str">
        <v>TEST1003</v>
      </c>
      <c r="C18" s="13" t="str">
        <v>Test Student 1-03 (TNG)</v>
      </c>
      <c r="D18" s="13" t="str">
        <v>[TEST] B.Tech. Construction Engineering &amp; Management</v>
      </c>
      <c r="E18" s="13" t="str">
        <v>I</v>
      </c>
      <c r="F18" s="13" t="str">
        <v>T102</v>
      </c>
      <c r="G18" s="13" t="str">
        <v>Applied Studio &amp; Skills</v>
      </c>
      <c r="H18" s="13" t="str">
        <v>2026-27</v>
      </c>
      <c r="I18" s="13" t="str">
        <v>Oct 2026 TEST</v>
      </c>
      <c r="J18" s="13" t="str">
        <v>CA1</v>
      </c>
      <c r="K18" s="13"/>
      <c r="L18" s="13" t="n">
        <v>3</v>
      </c>
      <c r="M18" s="13" t="n">
        <v>3</v>
      </c>
      <c r="N18" s="9" t="n">
        <f>IF(INDEX('Course_Config'!$H$2:$H$7,R18)=0,0,IF(J18="ESE",INDEX('Course_Config'!$T$2:$T$7,R18),IF(J18="CA1",INDEX('Course_Config'!$K$2:$K$7,R18),IF(J18="CA2",INDEX('Course_Config'!$L$2:$L$7,R18),INDEX('Course_Config'!$M$2:$M$7,R18)))))</f>
        <v>0</v>
      </c>
      <c r="O18" s="9" t="n">
        <f>IF(INDEX('Course_Config'!$I$2:$I$7,R18)=0,0,IF(J18="ESE",INDEX('Course_Config'!$U$2:$U$7,R18),IF(J18="CA1",INDEX('Course_Config'!$N$2:$N$7,R18),IF(J18="CA2",INDEX('Course_Config'!$O$2:$O$7,R18),INDEX('Course_Config'!$P$2:$P$7,R18)))))</f>
        <v>10</v>
      </c>
      <c r="P18" s="9" t="n">
        <f>IF(INDEX('Course_Config'!$J$2:$J$7,R18)=0,0,IF(J18="ESE",INDEX('Course_Config'!$V$2:$V$7,R18),IF(J18="CA1",INDEX('Course_Config'!$Q$2:$Q$7,R18),IF(J18="CA2",INDEX('Course_Config'!$R$2:$R$7,R18),INDEX('Course_Config'!$S$2:$S$7,R18)))))</f>
        <v>10</v>
      </c>
      <c r="Q18" s="9" t="str">
        <f>IF(AND(IF(N18=0,OR(K18="",K18=0),OR(K18="",K18="AB",AND(ISNUMBER(K18),K18&gt;=0,K18&lt;=N18))),IF(O18=0,OR(L18="",L18=0),OR(L18="",L18="AB",AND(ISNUMBER(L18),L18&gt;=0,L18&lt;=O18))),IF(P18=0,OR(M18="",M18=0),OR(M18="",M18="AB",AND(ISNUMBER(M18),M18&gt;=0,M18&lt;=P18)))),"OK","INVALID")</f>
        <v>OK</v>
      </c>
      <c r="R18" s="9" t="n">
        <f>SUMIFS('Course_Config'!$AK$2:$AK$7,'Course_Config'!$AA$2:$AA$7,D18&amp;"|"&amp;F18&amp;"|"&amp;E18)</f>
        <v>2</v>
      </c>
      <c r="S18" s="9" t="str">
        <f>IF(COUNTIFS('Results'!$A$2:$A$13,B18,'Results'!$C$2:$C$13,F18,'Results'!$AP$2:$AP$13,D18,'Results'!$AK$2:$AK$13,E18,'Results'!$AI$2:$AI$13,H18,'Results'!$AJ$2:$AJ$13,I18,'Results'!$J$2:$J$13,"TG")=1,"TG","BLOCKED")</f>
        <v>BLOCKED</v>
      </c>
      <c r="T18" s="9" t="n">
        <f>INDEX('Course_Config'!$AH$2:$AH$7,R18)</f>
        <v>0</v>
      </c>
    </row>
    <row r="19">
      <c r="A19" s="9" t="n">
        <v>18</v>
      </c>
      <c r="B19" s="13" t="str">
        <v>TEST1003</v>
      </c>
      <c r="C19" s="13" t="str">
        <v>Test Student 1-03 (TNG)</v>
      </c>
      <c r="D19" s="13" t="str">
        <v>[TEST] B.Tech. Construction Engineering &amp; Management</v>
      </c>
      <c r="E19" s="13" t="str">
        <v>I</v>
      </c>
      <c r="F19" s="13" t="str">
        <v>T102</v>
      </c>
      <c r="G19" s="13" t="str">
        <v>Applied Studio &amp; Skills</v>
      </c>
      <c r="H19" s="13" t="str">
        <v>2026-27</v>
      </c>
      <c r="I19" s="13" t="str">
        <v>Oct 2026 TEST</v>
      </c>
      <c r="J19" s="13" t="str">
        <v>CA2</v>
      </c>
      <c r="K19" s="13"/>
      <c r="L19" s="13" t="n">
        <v>3</v>
      </c>
      <c r="M19" s="13" t="n">
        <v>3</v>
      </c>
      <c r="N19" s="9" t="n">
        <f>IF(INDEX('Course_Config'!$H$2:$H$7,R19)=0,0,IF(J19="ESE",INDEX('Course_Config'!$T$2:$T$7,R19),IF(J19="CA1",INDEX('Course_Config'!$K$2:$K$7,R19),IF(J19="CA2",INDEX('Course_Config'!$L$2:$L$7,R19),INDEX('Course_Config'!$M$2:$M$7,R19)))))</f>
        <v>0</v>
      </c>
      <c r="O19" s="9" t="n">
        <f>IF(INDEX('Course_Config'!$I$2:$I$7,R19)=0,0,IF(J19="ESE",INDEX('Course_Config'!$U$2:$U$7,R19),IF(J19="CA1",INDEX('Course_Config'!$N$2:$N$7,R19),IF(J19="CA2",INDEX('Course_Config'!$O$2:$O$7,R19),INDEX('Course_Config'!$P$2:$P$7,R19)))))</f>
        <v>10</v>
      </c>
      <c r="P19" s="9" t="n">
        <f>IF(INDEX('Course_Config'!$J$2:$J$7,R19)=0,0,IF(J19="ESE",INDEX('Course_Config'!$V$2:$V$7,R19),IF(J19="CA1",INDEX('Course_Config'!$Q$2:$Q$7,R19),IF(J19="CA2",INDEX('Course_Config'!$R$2:$R$7,R19),INDEX('Course_Config'!$S$2:$S$7,R19)))))</f>
        <v>10</v>
      </c>
      <c r="Q19" s="9" t="str">
        <f>IF(AND(IF(N19=0,OR(K19="",K19=0),OR(K19="",K19="AB",AND(ISNUMBER(K19),K19&gt;=0,K19&lt;=N19))),IF(O19=0,OR(L19="",L19=0),OR(L19="",L19="AB",AND(ISNUMBER(L19),L19&gt;=0,L19&lt;=O19))),IF(P19=0,OR(M19="",M19=0),OR(M19="",M19="AB",AND(ISNUMBER(M19),M19&gt;=0,M19&lt;=P19)))),"OK","INVALID")</f>
        <v>OK</v>
      </c>
      <c r="R19" s="9" t="n">
        <f>SUMIFS('Course_Config'!$AK$2:$AK$7,'Course_Config'!$AA$2:$AA$7,D19&amp;"|"&amp;F19&amp;"|"&amp;E19)</f>
        <v>2</v>
      </c>
      <c r="S19" s="9" t="str">
        <f>IF(COUNTIFS('Results'!$A$2:$A$13,B19,'Results'!$C$2:$C$13,F19,'Results'!$AP$2:$AP$13,D19,'Results'!$AK$2:$AK$13,E19,'Results'!$AI$2:$AI$13,H19,'Results'!$AJ$2:$AJ$13,I19,'Results'!$J$2:$J$13,"TG")=1,"TG","BLOCKED")</f>
        <v>BLOCKED</v>
      </c>
      <c r="T19" s="9" t="n">
        <f>INDEX('Course_Config'!$AH$2:$AH$7,R19)</f>
        <v>0</v>
      </c>
    </row>
    <row r="20">
      <c r="A20" s="9" t="n">
        <v>19</v>
      </c>
      <c r="B20" s="13" t="str">
        <v>TEST1003</v>
      </c>
      <c r="C20" s="13" t="str">
        <v>Test Student 1-03 (TNG)</v>
      </c>
      <c r="D20" s="13" t="str">
        <v>[TEST] B.Tech. Construction Engineering &amp; Management</v>
      </c>
      <c r="E20" s="13" t="str">
        <v>I</v>
      </c>
      <c r="F20" s="13" t="str">
        <v>T102</v>
      </c>
      <c r="G20" s="13" t="str">
        <v>Applied Studio &amp; Skills</v>
      </c>
      <c r="H20" s="13" t="str">
        <v>2026-27</v>
      </c>
      <c r="I20" s="13" t="str">
        <v>Oct 2026 TEST</v>
      </c>
      <c r="J20" s="13" t="str">
        <v>CA3</v>
      </c>
      <c r="K20" s="13"/>
      <c r="L20" s="13" t="n">
        <v>3</v>
      </c>
      <c r="M20" s="13" t="n">
        <v>3</v>
      </c>
      <c r="N20" s="9" t="n">
        <f>IF(INDEX('Course_Config'!$H$2:$H$7,R20)=0,0,IF(J20="ESE",INDEX('Course_Config'!$T$2:$T$7,R20),IF(J20="CA1",INDEX('Course_Config'!$K$2:$K$7,R20),IF(J20="CA2",INDEX('Course_Config'!$L$2:$L$7,R20),INDEX('Course_Config'!$M$2:$M$7,R20)))))</f>
        <v>0</v>
      </c>
      <c r="O20" s="9" t="n">
        <f>IF(INDEX('Course_Config'!$I$2:$I$7,R20)=0,0,IF(J20="ESE",INDEX('Course_Config'!$U$2:$U$7,R20),IF(J20="CA1",INDEX('Course_Config'!$N$2:$N$7,R20),IF(J20="CA2",INDEX('Course_Config'!$O$2:$O$7,R20),INDEX('Course_Config'!$P$2:$P$7,R20)))))</f>
        <v>10</v>
      </c>
      <c r="P20" s="9" t="n">
        <f>IF(INDEX('Course_Config'!$J$2:$J$7,R20)=0,0,IF(J20="ESE",INDEX('Course_Config'!$V$2:$V$7,R20),IF(J20="CA1",INDEX('Course_Config'!$Q$2:$Q$7,R20),IF(J20="CA2",INDEX('Course_Config'!$R$2:$R$7,R20),INDEX('Course_Config'!$S$2:$S$7,R20)))))</f>
        <v>10</v>
      </c>
      <c r="Q20" s="9" t="str">
        <f>IF(AND(IF(N20=0,OR(K20="",K20=0),OR(K20="",K20="AB",AND(ISNUMBER(K20),K20&gt;=0,K20&lt;=N20))),IF(O20=0,OR(L20="",L20=0),OR(L20="",L20="AB",AND(ISNUMBER(L20),L20&gt;=0,L20&lt;=O20))),IF(P20=0,OR(M20="",M20=0),OR(M20="",M20="AB",AND(ISNUMBER(M20),M20&gt;=0,M20&lt;=P20)))),"OK","INVALID")</f>
        <v>OK</v>
      </c>
      <c r="R20" s="9" t="n">
        <f>SUMIFS('Course_Config'!$AK$2:$AK$7,'Course_Config'!$AA$2:$AA$7,D20&amp;"|"&amp;F20&amp;"|"&amp;E20)</f>
        <v>2</v>
      </c>
      <c r="S20" s="9" t="str">
        <f>IF(COUNTIFS('Results'!$A$2:$A$13,B20,'Results'!$C$2:$C$13,F20,'Results'!$AP$2:$AP$13,D20,'Results'!$AK$2:$AK$13,E20,'Results'!$AI$2:$AI$13,H20,'Results'!$AJ$2:$AJ$13,I20,'Results'!$J$2:$J$13,"TG")=1,"TG","BLOCKED")</f>
        <v>BLOCKED</v>
      </c>
      <c r="T20" s="9" t="n">
        <f>INDEX('Course_Config'!$AH$2:$AH$7,R20)</f>
        <v>0</v>
      </c>
    </row>
    <row r="21">
      <c r="A21" s="9" t="n">
        <v>20</v>
      </c>
      <c r="B21" s="13" t="str">
        <v>TEST1003</v>
      </c>
      <c r="C21" s="13" t="str">
        <v>Test Student 1-03 (TNG)</v>
      </c>
      <c r="D21" s="13" t="str">
        <v>[TEST] B.Tech. Construction Engineering &amp; Management</v>
      </c>
      <c r="E21" s="13" t="str">
        <v>I</v>
      </c>
      <c r="F21" s="13" t="str">
        <v>T102</v>
      </c>
      <c r="G21" s="13" t="str">
        <v>Applied Studio &amp; Skills</v>
      </c>
      <c r="H21" s="13" t="str">
        <v>2026-27</v>
      </c>
      <c r="I21" s="13" t="str">
        <v>Oct 2026 TEST</v>
      </c>
      <c r="J21" s="13" t="str">
        <v>ESE</v>
      </c>
      <c r="K21" s="13"/>
      <c r="L21" s="13"/>
      <c r="M21" s="13"/>
      <c r="N21" s="9" t="n">
        <f>IF(INDEX('Course_Config'!$H$2:$H$7,R21)=0,0,IF(J21="ESE",INDEX('Course_Config'!$T$2:$T$7,R21),IF(J21="CA1",INDEX('Course_Config'!$K$2:$K$7,R21),IF(J21="CA2",INDEX('Course_Config'!$L$2:$L$7,R21),INDEX('Course_Config'!$M$2:$M$7,R21)))))</f>
        <v>0</v>
      </c>
      <c r="O21" s="9" t="n">
        <f>IF(INDEX('Course_Config'!$I$2:$I$7,R21)=0,0,IF(J21="ESE",INDEX('Course_Config'!$U$2:$U$7,R21),IF(J21="CA1",INDEX('Course_Config'!$N$2:$N$7,R21),IF(J21="CA2",INDEX('Course_Config'!$O$2:$O$7,R21),INDEX('Course_Config'!$P$2:$P$7,R21)))))</f>
        <v>30</v>
      </c>
      <c r="P21" s="9" t="n">
        <f>IF(INDEX('Course_Config'!$J$2:$J$7,R21)=0,0,IF(J21="ESE",INDEX('Course_Config'!$V$2:$V$7,R21),IF(J21="CA1",INDEX('Course_Config'!$Q$2:$Q$7,R21),IF(J21="CA2",INDEX('Course_Config'!$R$2:$R$7,R21),INDEX('Course_Config'!$S$2:$S$7,R21)))))</f>
        <v>30</v>
      </c>
      <c r="Q21" s="9" t="str">
        <f>IF(AND(IF(N21=0,OR(K21="",K21=0),OR(K21="",K21="AB",AND(ISNUMBER(K21),K21&gt;=0,K21&lt;=N21))),IF(O21=0,OR(L21="",L21=0),OR(L21="",L21="AB",AND(ISNUMBER(L21),L21&gt;=0,L21&lt;=O21))),IF(P21=0,OR(M21="",M21=0),OR(M21="",M21="AB",AND(ISNUMBER(M21),M21&gt;=0,M21&lt;=P21)))),"OK","INVALID")</f>
        <v>OK</v>
      </c>
      <c r="R21" s="9" t="n">
        <f>SUMIFS('Course_Config'!$AK$2:$AK$7,'Course_Config'!$AA$2:$AA$7,D21&amp;"|"&amp;F21&amp;"|"&amp;E21)</f>
        <v>2</v>
      </c>
      <c r="S21" s="9" t="str">
        <f>IF(COUNTIFS('Results'!$A$2:$A$13,B21,'Results'!$C$2:$C$13,F21,'Results'!$AP$2:$AP$13,D21,'Results'!$AK$2:$AK$13,E21,'Results'!$AI$2:$AI$13,H21,'Results'!$AJ$2:$AJ$13,I21,'Results'!$J$2:$J$13,"TG")=1,"TG","BLOCKED")</f>
        <v>BLOCKED</v>
      </c>
      <c r="T21" s="9" t="n">
        <f>INDEX('Course_Config'!$AH$2:$AH$7,R21)</f>
        <v>0</v>
      </c>
    </row>
    <row r="22">
      <c r="A22" s="9" t="n">
        <v>21</v>
      </c>
      <c r="B22" s="13" t="str">
        <v>TEST1005</v>
      </c>
      <c r="C22" s="13" t="str">
        <v>Test Student 1-05 (PENDING)</v>
      </c>
      <c r="D22" s="13" t="str">
        <v>[TEST] B.Tech. Construction Engineering &amp; Management</v>
      </c>
      <c r="E22" s="13" t="str">
        <v>I</v>
      </c>
      <c r="F22" s="13" t="str">
        <v>T102</v>
      </c>
      <c r="G22" s="13" t="str">
        <v>Applied Studio &amp; Skills</v>
      </c>
      <c r="H22" s="13" t="str">
        <v>2026-27</v>
      </c>
      <c r="I22" s="13" t="str">
        <v>Oct 2026 TEST</v>
      </c>
      <c r="J22" s="13" t="str">
        <v>CA1</v>
      </c>
      <c r="K22" s="13"/>
      <c r="L22" s="13" t="n">
        <v>8</v>
      </c>
      <c r="M22" s="13" t="n">
        <v>8</v>
      </c>
      <c r="N22" s="9" t="n">
        <f>IF(INDEX('Course_Config'!$H$2:$H$7,R22)=0,0,IF(J22="ESE",INDEX('Course_Config'!$T$2:$T$7,R22),IF(J22="CA1",INDEX('Course_Config'!$K$2:$K$7,R22),IF(J22="CA2",INDEX('Course_Config'!$L$2:$L$7,R22),INDEX('Course_Config'!$M$2:$M$7,R22)))))</f>
        <v>0</v>
      </c>
      <c r="O22" s="9" t="n">
        <f>IF(INDEX('Course_Config'!$I$2:$I$7,R22)=0,0,IF(J22="ESE",INDEX('Course_Config'!$U$2:$U$7,R22),IF(J22="CA1",INDEX('Course_Config'!$N$2:$N$7,R22),IF(J22="CA2",INDEX('Course_Config'!$O$2:$O$7,R22),INDEX('Course_Config'!$P$2:$P$7,R22)))))</f>
        <v>10</v>
      </c>
      <c r="P22" s="9" t="n">
        <f>IF(INDEX('Course_Config'!$J$2:$J$7,R22)=0,0,IF(J22="ESE",INDEX('Course_Config'!$V$2:$V$7,R22),IF(J22="CA1",INDEX('Course_Config'!$Q$2:$Q$7,R22),IF(J22="CA2",INDEX('Course_Config'!$R$2:$R$7,R22),INDEX('Course_Config'!$S$2:$S$7,R22)))))</f>
        <v>10</v>
      </c>
      <c r="Q22" s="9" t="str">
        <f>IF(AND(IF(N22=0,OR(K22="",K22=0),OR(K22="",K22="AB",AND(ISNUMBER(K22),K22&gt;=0,K22&lt;=N22))),IF(O22=0,OR(L22="",L22=0),OR(L22="",L22="AB",AND(ISNUMBER(L22),L22&gt;=0,L22&lt;=O22))),IF(P22=0,OR(M22="",M22=0),OR(M22="",M22="AB",AND(ISNUMBER(M22),M22&gt;=0,M22&lt;=P22)))),"OK","INVALID")</f>
        <v>OK</v>
      </c>
      <c r="R22" s="9" t="n">
        <f>SUMIFS('Course_Config'!$AK$2:$AK$7,'Course_Config'!$AA$2:$AA$7,D22&amp;"|"&amp;F22&amp;"|"&amp;E22)</f>
        <v>2</v>
      </c>
      <c r="S22" s="9" t="str">
        <f>IF(COUNTIFS('Results'!$A$2:$A$13,B22,'Results'!$C$2:$C$13,F22,'Results'!$AP$2:$AP$13,D22,'Results'!$AK$2:$AK$13,E22,'Results'!$AI$2:$AI$13,H22,'Results'!$AJ$2:$AJ$13,I22,'Results'!$J$2:$J$13,"TG")=1,"TG","BLOCKED")</f>
        <v>BLOCKED</v>
      </c>
      <c r="T22" s="9" t="n">
        <f>INDEX('Course_Config'!$AH$2:$AH$7,R22)</f>
        <v>0</v>
      </c>
    </row>
    <row r="23">
      <c r="A23" s="9" t="n">
        <v>22</v>
      </c>
      <c r="B23" s="13" t="str">
        <v>TEST1005</v>
      </c>
      <c r="C23" s="13" t="str">
        <v>Test Student 1-05 (PENDING)</v>
      </c>
      <c r="D23" s="13" t="str">
        <v>[TEST] B.Tech. Construction Engineering &amp; Management</v>
      </c>
      <c r="E23" s="13" t="str">
        <v>I</v>
      </c>
      <c r="F23" s="13" t="str">
        <v>T102</v>
      </c>
      <c r="G23" s="13" t="str">
        <v>Applied Studio &amp; Skills</v>
      </c>
      <c r="H23" s="13" t="str">
        <v>2026-27</v>
      </c>
      <c r="I23" s="13" t="str">
        <v>Oct 2026 TEST</v>
      </c>
      <c r="J23" s="13" t="str">
        <v>CA2</v>
      </c>
      <c r="K23" s="13"/>
      <c r="L23" s="13" t="n">
        <v>8</v>
      </c>
      <c r="M23" s="13" t="n">
        <v>8</v>
      </c>
      <c r="N23" s="9" t="n">
        <f>IF(INDEX('Course_Config'!$H$2:$H$7,R23)=0,0,IF(J23="ESE",INDEX('Course_Config'!$T$2:$T$7,R23),IF(J23="CA1",INDEX('Course_Config'!$K$2:$K$7,R23),IF(J23="CA2",INDEX('Course_Config'!$L$2:$L$7,R23),INDEX('Course_Config'!$M$2:$M$7,R23)))))</f>
        <v>0</v>
      </c>
      <c r="O23" s="9" t="n">
        <f>IF(INDEX('Course_Config'!$I$2:$I$7,R23)=0,0,IF(J23="ESE",INDEX('Course_Config'!$U$2:$U$7,R23),IF(J23="CA1",INDEX('Course_Config'!$N$2:$N$7,R23),IF(J23="CA2",INDEX('Course_Config'!$O$2:$O$7,R23),INDEX('Course_Config'!$P$2:$P$7,R23)))))</f>
        <v>10</v>
      </c>
      <c r="P23" s="9" t="n">
        <f>IF(INDEX('Course_Config'!$J$2:$J$7,R23)=0,0,IF(J23="ESE",INDEX('Course_Config'!$V$2:$V$7,R23),IF(J23="CA1",INDEX('Course_Config'!$Q$2:$Q$7,R23),IF(J23="CA2",INDEX('Course_Config'!$R$2:$R$7,R23),INDEX('Course_Config'!$S$2:$S$7,R23)))))</f>
        <v>10</v>
      </c>
      <c r="Q23" s="9" t="str">
        <f>IF(AND(IF(N23=0,OR(K23="",K23=0),OR(K23="",K23="AB",AND(ISNUMBER(K23),K23&gt;=0,K23&lt;=N23))),IF(O23=0,OR(L23="",L23=0),OR(L23="",L23="AB",AND(ISNUMBER(L23),L23&gt;=0,L23&lt;=O23))),IF(P23=0,OR(M23="",M23=0),OR(M23="",M23="AB",AND(ISNUMBER(M23),M23&gt;=0,M23&lt;=P23)))),"OK","INVALID")</f>
        <v>OK</v>
      </c>
      <c r="R23" s="9" t="n">
        <f>SUMIFS('Course_Config'!$AK$2:$AK$7,'Course_Config'!$AA$2:$AA$7,D23&amp;"|"&amp;F23&amp;"|"&amp;E23)</f>
        <v>2</v>
      </c>
      <c r="S23" s="9" t="str">
        <f>IF(COUNTIFS('Results'!$A$2:$A$13,B23,'Results'!$C$2:$C$13,F23,'Results'!$AP$2:$AP$13,D23,'Results'!$AK$2:$AK$13,E23,'Results'!$AI$2:$AI$13,H23,'Results'!$AJ$2:$AJ$13,I23,'Results'!$J$2:$J$13,"TG")=1,"TG","BLOCKED")</f>
        <v>BLOCKED</v>
      </c>
      <c r="T23" s="9" t="n">
        <f>INDEX('Course_Config'!$AH$2:$AH$7,R23)</f>
        <v>0</v>
      </c>
    </row>
    <row r="24">
      <c r="A24" s="9" t="n">
        <v>23</v>
      </c>
      <c r="B24" s="13" t="str">
        <v>TEST1005</v>
      </c>
      <c r="C24" s="13" t="str">
        <v>Test Student 1-05 (PENDING)</v>
      </c>
      <c r="D24" s="13" t="str">
        <v>[TEST] B.Tech. Construction Engineering &amp; Management</v>
      </c>
      <c r="E24" s="13" t="str">
        <v>I</v>
      </c>
      <c r="F24" s="13" t="str">
        <v>T102</v>
      </c>
      <c r="G24" s="13" t="str">
        <v>Applied Studio &amp; Skills</v>
      </c>
      <c r="H24" s="13" t="str">
        <v>2026-27</v>
      </c>
      <c r="I24" s="13" t="str">
        <v>Oct 2026 TEST</v>
      </c>
      <c r="J24" s="13" t="str">
        <v>CA3</v>
      </c>
      <c r="K24" s="13"/>
      <c r="L24" s="13"/>
      <c r="M24" s="13"/>
      <c r="N24" s="9" t="n">
        <f>IF(INDEX('Course_Config'!$H$2:$H$7,R24)=0,0,IF(J24="ESE",INDEX('Course_Config'!$T$2:$T$7,R24),IF(J24="CA1",INDEX('Course_Config'!$K$2:$K$7,R24),IF(J24="CA2",INDEX('Course_Config'!$L$2:$L$7,R24),INDEX('Course_Config'!$M$2:$M$7,R24)))))</f>
        <v>0</v>
      </c>
      <c r="O24" s="9" t="n">
        <f>IF(INDEX('Course_Config'!$I$2:$I$7,R24)=0,0,IF(J24="ESE",INDEX('Course_Config'!$U$2:$U$7,R24),IF(J24="CA1",INDEX('Course_Config'!$N$2:$N$7,R24),IF(J24="CA2",INDEX('Course_Config'!$O$2:$O$7,R24),INDEX('Course_Config'!$P$2:$P$7,R24)))))</f>
        <v>10</v>
      </c>
      <c r="P24" s="9" t="n">
        <f>IF(INDEX('Course_Config'!$J$2:$J$7,R24)=0,0,IF(J24="ESE",INDEX('Course_Config'!$V$2:$V$7,R24),IF(J24="CA1",INDEX('Course_Config'!$Q$2:$Q$7,R24),IF(J24="CA2",INDEX('Course_Config'!$R$2:$R$7,R24),INDEX('Course_Config'!$S$2:$S$7,R24)))))</f>
        <v>10</v>
      </c>
      <c r="Q24" s="9" t="str">
        <f>IF(AND(IF(N24=0,OR(K24="",K24=0),OR(K24="",K24="AB",AND(ISNUMBER(K24),K24&gt;=0,K24&lt;=N24))),IF(O24=0,OR(L24="",L24=0),OR(L24="",L24="AB",AND(ISNUMBER(L24),L24&gt;=0,L24&lt;=O24))),IF(P24=0,OR(M24="",M24=0),OR(M24="",M24="AB",AND(ISNUMBER(M24),M24&gt;=0,M24&lt;=P24)))),"OK","INVALID")</f>
        <v>OK</v>
      </c>
      <c r="R24" s="9" t="n">
        <f>SUMIFS('Course_Config'!$AK$2:$AK$7,'Course_Config'!$AA$2:$AA$7,D24&amp;"|"&amp;F24&amp;"|"&amp;E24)</f>
        <v>2</v>
      </c>
      <c r="S24" s="9" t="str">
        <f>IF(COUNTIFS('Results'!$A$2:$A$13,B24,'Results'!$C$2:$C$13,F24,'Results'!$AP$2:$AP$13,D24,'Results'!$AK$2:$AK$13,E24,'Results'!$AI$2:$AI$13,H24,'Results'!$AJ$2:$AJ$13,I24,'Results'!$J$2:$J$13,"TG")=1,"TG","BLOCKED")</f>
        <v>BLOCKED</v>
      </c>
      <c r="T24" s="9" t="n">
        <f>INDEX('Course_Config'!$AH$2:$AH$7,R24)</f>
        <v>0</v>
      </c>
    </row>
    <row r="25">
      <c r="A25" s="9" t="n">
        <v>24</v>
      </c>
      <c r="B25" s="13" t="str">
        <v>TEST1005</v>
      </c>
      <c r="C25" s="13" t="str">
        <v>Test Student 1-05 (PENDING)</v>
      </c>
      <c r="D25" s="13" t="str">
        <v>[TEST] B.Tech. Construction Engineering &amp; Management</v>
      </c>
      <c r="E25" s="13" t="str">
        <v>I</v>
      </c>
      <c r="F25" s="13" t="str">
        <v>T102</v>
      </c>
      <c r="G25" s="13" t="str">
        <v>Applied Studio &amp; Skills</v>
      </c>
      <c r="H25" s="13" t="str">
        <v>2026-27</v>
      </c>
      <c r="I25" s="13" t="str">
        <v>Oct 2026 TEST</v>
      </c>
      <c r="J25" s="13" t="str">
        <v>ESE</v>
      </c>
      <c r="K25" s="13"/>
      <c r="L25" s="13"/>
      <c r="M25" s="13"/>
      <c r="N25" s="9" t="n">
        <f>IF(INDEX('Course_Config'!$H$2:$H$7,R25)=0,0,IF(J25="ESE",INDEX('Course_Config'!$T$2:$T$7,R25),IF(J25="CA1",INDEX('Course_Config'!$K$2:$K$7,R25),IF(J25="CA2",INDEX('Course_Config'!$L$2:$L$7,R25),INDEX('Course_Config'!$M$2:$M$7,R25)))))</f>
        <v>0</v>
      </c>
      <c r="O25" s="9" t="n">
        <f>IF(INDEX('Course_Config'!$I$2:$I$7,R25)=0,0,IF(J25="ESE",INDEX('Course_Config'!$U$2:$U$7,R25),IF(J25="CA1",INDEX('Course_Config'!$N$2:$N$7,R25),IF(J25="CA2",INDEX('Course_Config'!$O$2:$O$7,R25),INDEX('Course_Config'!$P$2:$P$7,R25)))))</f>
        <v>30</v>
      </c>
      <c r="P25" s="9" t="n">
        <f>IF(INDEX('Course_Config'!$J$2:$J$7,R25)=0,0,IF(J25="ESE",INDEX('Course_Config'!$V$2:$V$7,R25),IF(J25="CA1",INDEX('Course_Config'!$Q$2:$Q$7,R25),IF(J25="CA2",INDEX('Course_Config'!$R$2:$R$7,R25),INDEX('Course_Config'!$S$2:$S$7,R25)))))</f>
        <v>30</v>
      </c>
      <c r="Q25" s="9" t="str">
        <f>IF(AND(IF(N25=0,OR(K25="",K25=0),OR(K25="",K25="AB",AND(ISNUMBER(K25),K25&gt;=0,K25&lt;=N25))),IF(O25=0,OR(L25="",L25=0),OR(L25="",L25="AB",AND(ISNUMBER(L25),L25&gt;=0,L25&lt;=O25))),IF(P25=0,OR(M25="",M25=0),OR(M25="",M25="AB",AND(ISNUMBER(M25),M25&gt;=0,M25&lt;=P25)))),"OK","INVALID")</f>
        <v>OK</v>
      </c>
      <c r="R25" s="9" t="n">
        <f>SUMIFS('Course_Config'!$AK$2:$AK$7,'Course_Config'!$AA$2:$AA$7,D25&amp;"|"&amp;F25&amp;"|"&amp;E25)</f>
        <v>2</v>
      </c>
      <c r="S25" s="9" t="str">
        <f>IF(COUNTIFS('Results'!$A$2:$A$13,B25,'Results'!$C$2:$C$13,F25,'Results'!$AP$2:$AP$13,D25,'Results'!$AK$2:$AK$13,E25,'Results'!$AI$2:$AI$13,H25,'Results'!$AJ$2:$AJ$13,I25,'Results'!$J$2:$J$13,"TG")=1,"TG","BLOCKED")</f>
        <v>BLOCKED</v>
      </c>
      <c r="T25" s="9" t="n">
        <f>INDEX('Course_Config'!$AH$2:$AH$7,R25)</f>
        <v>0</v>
      </c>
    </row>
    <row r="26">
      <c r="A26" s="9" t="n">
        <v>25</v>
      </c>
      <c r="B26" s="13" t="str">
        <v>TEST1001</v>
      </c>
      <c r="C26" s="13" t="str">
        <v>Test Student 1-01 (PASS)</v>
      </c>
      <c r="D26" s="13" t="str">
        <v>[TEST] B.Tech. Construction Engineering &amp; Management</v>
      </c>
      <c r="E26" s="13" t="str">
        <v>I</v>
      </c>
      <c r="F26" s="13" t="str">
        <v>T103</v>
      </c>
      <c r="G26" s="13" t="str">
        <v>Core Theory</v>
      </c>
      <c r="H26" s="13" t="str">
        <v>2026-27</v>
      </c>
      <c r="I26" s="13" t="str">
        <v>Oct 2026 TEST</v>
      </c>
      <c r="J26" s="13" t="str">
        <v>CA1</v>
      </c>
      <c r="K26" s="13" t="n">
        <v>8</v>
      </c>
      <c r="L26" s="13"/>
      <c r="M26" s="13"/>
      <c r="N26" s="9" t="n">
        <f>IF(INDEX('Course_Config'!$H$2:$H$7,R26)=0,0,IF(J26="ESE",INDEX('Course_Config'!$T$2:$T$7,R26),IF(J26="CA1",INDEX('Course_Config'!$K$2:$K$7,R26),IF(J26="CA2",INDEX('Course_Config'!$L$2:$L$7,R26),INDEX('Course_Config'!$M$2:$M$7,R26)))))</f>
        <v>10</v>
      </c>
      <c r="O26" s="9" t="n">
        <f>IF(INDEX('Course_Config'!$I$2:$I$7,R26)=0,0,IF(J26="ESE",INDEX('Course_Config'!$U$2:$U$7,R26),IF(J26="CA1",INDEX('Course_Config'!$N$2:$N$7,R26),IF(J26="CA2",INDEX('Course_Config'!$O$2:$O$7,R26),INDEX('Course_Config'!$P$2:$P$7,R26)))))</f>
        <v>0</v>
      </c>
      <c r="P26" s="9" t="n">
        <f>IF(INDEX('Course_Config'!$J$2:$J$7,R26)=0,0,IF(J26="ESE",INDEX('Course_Config'!$V$2:$V$7,R26),IF(J26="CA1",INDEX('Course_Config'!$Q$2:$Q$7,R26),IF(J26="CA2",INDEX('Course_Config'!$R$2:$R$7,R26),INDEX('Course_Config'!$S$2:$S$7,R26)))))</f>
        <v>0</v>
      </c>
      <c r="Q26" s="9" t="str">
        <f>IF(AND(IF(N26=0,OR(K26="",K26=0),OR(K26="",K26="AB",AND(ISNUMBER(K26),K26&gt;=0,K26&lt;=N26))),IF(O26=0,OR(L26="",L26=0),OR(L26="",L26="AB",AND(ISNUMBER(L26),L26&gt;=0,L26&lt;=O26))),IF(P26=0,OR(M26="",M26=0),OR(M26="",M26="AB",AND(ISNUMBER(M26),M26&gt;=0,M26&lt;=P26)))),"OK","INVALID")</f>
        <v>OK</v>
      </c>
      <c r="R26" s="9" t="n">
        <f>SUMIFS('Course_Config'!$AK$2:$AK$7,'Course_Config'!$AA$2:$AA$7,D26&amp;"|"&amp;F26&amp;"|"&amp;E26)</f>
        <v>3</v>
      </c>
      <c r="S26" s="9" t="str">
        <f>IF(COUNTIFS('Results'!$A$2:$A$13,B26,'Results'!$C$2:$C$13,F26,'Results'!$AP$2:$AP$13,D26,'Results'!$AK$2:$AK$13,E26,'Results'!$AI$2:$AI$13,H26,'Results'!$AJ$2:$AJ$13,I26,'Results'!$J$2:$J$13,"TG")=1,"TG","BLOCKED")</f>
        <v>TG</v>
      </c>
      <c r="T26" s="9" t="n">
        <f>INDEX('Course_Config'!$AH$2:$AH$7,R26)</f>
        <v>0</v>
      </c>
    </row>
    <row r="27">
      <c r="A27" s="9" t="n">
        <v>26</v>
      </c>
      <c r="B27" s="13" t="str">
        <v>TEST1001</v>
      </c>
      <c r="C27" s="13" t="str">
        <v>Test Student 1-01 (PASS)</v>
      </c>
      <c r="D27" s="13" t="str">
        <v>[TEST] B.Tech. Construction Engineering &amp; Management</v>
      </c>
      <c r="E27" s="13" t="str">
        <v>I</v>
      </c>
      <c r="F27" s="13" t="str">
        <v>T103</v>
      </c>
      <c r="G27" s="13" t="str">
        <v>Core Theory</v>
      </c>
      <c r="H27" s="13" t="str">
        <v>2026-27</v>
      </c>
      <c r="I27" s="13" t="str">
        <v>Oct 2026 TEST</v>
      </c>
      <c r="J27" s="13" t="str">
        <v>CA2</v>
      </c>
      <c r="K27" s="13" t="n">
        <v>8</v>
      </c>
      <c r="L27" s="13"/>
      <c r="M27" s="13"/>
      <c r="N27" s="9" t="n">
        <f>IF(INDEX('Course_Config'!$H$2:$H$7,R27)=0,0,IF(J27="ESE",INDEX('Course_Config'!$T$2:$T$7,R27),IF(J27="CA1",INDEX('Course_Config'!$K$2:$K$7,R27),IF(J27="CA2",INDEX('Course_Config'!$L$2:$L$7,R27),INDEX('Course_Config'!$M$2:$M$7,R27)))))</f>
        <v>10</v>
      </c>
      <c r="O27" s="9" t="n">
        <f>IF(INDEX('Course_Config'!$I$2:$I$7,R27)=0,0,IF(J27="ESE",INDEX('Course_Config'!$U$2:$U$7,R27),IF(J27="CA1",INDEX('Course_Config'!$N$2:$N$7,R27),IF(J27="CA2",INDEX('Course_Config'!$O$2:$O$7,R27),INDEX('Course_Config'!$P$2:$P$7,R27)))))</f>
        <v>0</v>
      </c>
      <c r="P27" s="9" t="n">
        <f>IF(INDEX('Course_Config'!$J$2:$J$7,R27)=0,0,IF(J27="ESE",INDEX('Course_Config'!$V$2:$V$7,R27),IF(J27="CA1",INDEX('Course_Config'!$Q$2:$Q$7,R27),IF(J27="CA2",INDEX('Course_Config'!$R$2:$R$7,R27),INDEX('Course_Config'!$S$2:$S$7,R27)))))</f>
        <v>0</v>
      </c>
      <c r="Q27" s="9" t="str">
        <f>IF(AND(IF(N27=0,OR(K27="",K27=0),OR(K27="",K27="AB",AND(ISNUMBER(K27),K27&gt;=0,K27&lt;=N27))),IF(O27=0,OR(L27="",L27=0),OR(L27="",L27="AB",AND(ISNUMBER(L27),L27&gt;=0,L27&lt;=O27))),IF(P27=0,OR(M27="",M27=0),OR(M27="",M27="AB",AND(ISNUMBER(M27),M27&gt;=0,M27&lt;=P27)))),"OK","INVALID")</f>
        <v>OK</v>
      </c>
      <c r="R27" s="9" t="n">
        <f>SUMIFS('Course_Config'!$AK$2:$AK$7,'Course_Config'!$AA$2:$AA$7,D27&amp;"|"&amp;F27&amp;"|"&amp;E27)</f>
        <v>3</v>
      </c>
      <c r="S27" s="9" t="str">
        <f>IF(COUNTIFS('Results'!$A$2:$A$13,B27,'Results'!$C$2:$C$13,F27,'Results'!$AP$2:$AP$13,D27,'Results'!$AK$2:$AK$13,E27,'Results'!$AI$2:$AI$13,H27,'Results'!$AJ$2:$AJ$13,I27,'Results'!$J$2:$J$13,"TG")=1,"TG","BLOCKED")</f>
        <v>TG</v>
      </c>
      <c r="T27" s="9" t="n">
        <f>INDEX('Course_Config'!$AH$2:$AH$7,R27)</f>
        <v>0</v>
      </c>
    </row>
    <row r="28">
      <c r="A28" s="9" t="n">
        <v>27</v>
      </c>
      <c r="B28" s="13" t="str">
        <v>TEST1001</v>
      </c>
      <c r="C28" s="13" t="str">
        <v>Test Student 1-01 (PASS)</v>
      </c>
      <c r="D28" s="13" t="str">
        <v>[TEST] B.Tech. Construction Engineering &amp; Management</v>
      </c>
      <c r="E28" s="13" t="str">
        <v>I</v>
      </c>
      <c r="F28" s="13" t="str">
        <v>T103</v>
      </c>
      <c r="G28" s="13" t="str">
        <v>Core Theory</v>
      </c>
      <c r="H28" s="13" t="str">
        <v>2026-27</v>
      </c>
      <c r="I28" s="13" t="str">
        <v>Oct 2026 TEST</v>
      </c>
      <c r="J28" s="13" t="str">
        <v>CA3</v>
      </c>
      <c r="K28" s="13" t="n">
        <v>8</v>
      </c>
      <c r="L28" s="13"/>
      <c r="M28" s="13"/>
      <c r="N28" s="9" t="n">
        <f>IF(INDEX('Course_Config'!$H$2:$H$7,R28)=0,0,IF(J28="ESE",INDEX('Course_Config'!$T$2:$T$7,R28),IF(J28="CA1",INDEX('Course_Config'!$K$2:$K$7,R28),IF(J28="CA2",INDEX('Course_Config'!$L$2:$L$7,R28),INDEX('Course_Config'!$M$2:$M$7,R28)))))</f>
        <v>10</v>
      </c>
      <c r="O28" s="9" t="n">
        <f>IF(INDEX('Course_Config'!$I$2:$I$7,R28)=0,0,IF(J28="ESE",INDEX('Course_Config'!$U$2:$U$7,R28),IF(J28="CA1",INDEX('Course_Config'!$N$2:$N$7,R28),IF(J28="CA2",INDEX('Course_Config'!$O$2:$O$7,R28),INDEX('Course_Config'!$P$2:$P$7,R28)))))</f>
        <v>0</v>
      </c>
      <c r="P28" s="9" t="n">
        <f>IF(INDEX('Course_Config'!$J$2:$J$7,R28)=0,0,IF(J28="ESE",INDEX('Course_Config'!$V$2:$V$7,R28),IF(J28="CA1",INDEX('Course_Config'!$Q$2:$Q$7,R28),IF(J28="CA2",INDEX('Course_Config'!$R$2:$R$7,R28),INDEX('Course_Config'!$S$2:$S$7,R28)))))</f>
        <v>0</v>
      </c>
      <c r="Q28" s="9" t="str">
        <f>IF(AND(IF(N28=0,OR(K28="",K28=0),OR(K28="",K28="AB",AND(ISNUMBER(K28),K28&gt;=0,K28&lt;=N28))),IF(O28=0,OR(L28="",L28=0),OR(L28="",L28="AB",AND(ISNUMBER(L28),L28&gt;=0,L28&lt;=O28))),IF(P28=0,OR(M28="",M28=0),OR(M28="",M28="AB",AND(ISNUMBER(M28),M28&gt;=0,M28&lt;=P28)))),"OK","INVALID")</f>
        <v>OK</v>
      </c>
      <c r="R28" s="9" t="n">
        <f>SUMIFS('Course_Config'!$AK$2:$AK$7,'Course_Config'!$AA$2:$AA$7,D28&amp;"|"&amp;F28&amp;"|"&amp;E28)</f>
        <v>3</v>
      </c>
      <c r="S28" s="9" t="str">
        <f>IF(COUNTIFS('Results'!$A$2:$A$13,B28,'Results'!$C$2:$C$13,F28,'Results'!$AP$2:$AP$13,D28,'Results'!$AK$2:$AK$13,E28,'Results'!$AI$2:$AI$13,H28,'Results'!$AJ$2:$AJ$13,I28,'Results'!$J$2:$J$13,"TG")=1,"TG","BLOCKED")</f>
        <v>TG</v>
      </c>
      <c r="T28" s="9" t="n">
        <f>INDEX('Course_Config'!$AH$2:$AH$7,R28)</f>
        <v>0</v>
      </c>
    </row>
    <row r="29">
      <c r="A29" s="9" t="n">
        <v>28</v>
      </c>
      <c r="B29" s="13" t="str">
        <v>TEST1001</v>
      </c>
      <c r="C29" s="13" t="str">
        <v>Test Student 1-01 (PASS)</v>
      </c>
      <c r="D29" s="13" t="str">
        <v>[TEST] B.Tech. Construction Engineering &amp; Management</v>
      </c>
      <c r="E29" s="13" t="str">
        <v>I</v>
      </c>
      <c r="F29" s="13" t="str">
        <v>T103</v>
      </c>
      <c r="G29" s="13" t="str">
        <v>Core Theory</v>
      </c>
      <c r="H29" s="13" t="str">
        <v>2026-27</v>
      </c>
      <c r="I29" s="13" t="str">
        <v>Oct 2026 TEST</v>
      </c>
      <c r="J29" s="13" t="str">
        <v>ESE</v>
      </c>
      <c r="K29" s="13" t="n">
        <v>24</v>
      </c>
      <c r="L29" s="13"/>
      <c r="M29" s="13"/>
      <c r="N29" s="9" t="n">
        <f>IF(INDEX('Course_Config'!$H$2:$H$7,R29)=0,0,IF(J29="ESE",INDEX('Course_Config'!$T$2:$T$7,R29),IF(J29="CA1",INDEX('Course_Config'!$K$2:$K$7,R29),IF(J29="CA2",INDEX('Course_Config'!$L$2:$L$7,R29),INDEX('Course_Config'!$M$2:$M$7,R29)))))</f>
        <v>30</v>
      </c>
      <c r="O29" s="9" t="n">
        <f>IF(INDEX('Course_Config'!$I$2:$I$7,R29)=0,0,IF(J29="ESE",INDEX('Course_Config'!$U$2:$U$7,R29),IF(J29="CA1",INDEX('Course_Config'!$N$2:$N$7,R29),IF(J29="CA2",INDEX('Course_Config'!$O$2:$O$7,R29),INDEX('Course_Config'!$P$2:$P$7,R29)))))</f>
        <v>0</v>
      </c>
      <c r="P29" s="9" t="n">
        <f>IF(INDEX('Course_Config'!$J$2:$J$7,R29)=0,0,IF(J29="ESE",INDEX('Course_Config'!$V$2:$V$7,R29),IF(J29="CA1",INDEX('Course_Config'!$Q$2:$Q$7,R29),IF(J29="CA2",INDEX('Course_Config'!$R$2:$R$7,R29),INDEX('Course_Config'!$S$2:$S$7,R29)))))</f>
        <v>0</v>
      </c>
      <c r="Q29" s="9" t="str">
        <f>IF(AND(IF(N29=0,OR(K29="",K29=0),OR(K29="",K29="AB",AND(ISNUMBER(K29),K29&gt;=0,K29&lt;=N29))),IF(O29=0,OR(L29="",L29=0),OR(L29="",L29="AB",AND(ISNUMBER(L29),L29&gt;=0,L29&lt;=O29))),IF(P29=0,OR(M29="",M29=0),OR(M29="",M29="AB",AND(ISNUMBER(M29),M29&gt;=0,M29&lt;=P29)))),"OK","INVALID")</f>
        <v>OK</v>
      </c>
      <c r="R29" s="9" t="n">
        <f>SUMIFS('Course_Config'!$AK$2:$AK$7,'Course_Config'!$AA$2:$AA$7,D29&amp;"|"&amp;F29&amp;"|"&amp;E29)</f>
        <v>3</v>
      </c>
      <c r="S29" s="9" t="str">
        <f>IF(COUNTIFS('Results'!$A$2:$A$13,B29,'Results'!$C$2:$C$13,F29,'Results'!$AP$2:$AP$13,D29,'Results'!$AK$2:$AK$13,E29,'Results'!$AI$2:$AI$13,H29,'Results'!$AJ$2:$AJ$13,I29,'Results'!$J$2:$J$13,"TG")=1,"TG","BLOCKED")</f>
        <v>TG</v>
      </c>
      <c r="T29" s="9" t="n">
        <f>INDEX('Course_Config'!$AH$2:$AH$7,R29)</f>
        <v>0</v>
      </c>
    </row>
    <row r="30">
      <c r="A30" s="9" t="n">
        <v>29</v>
      </c>
      <c r="B30" s="13" t="str">
        <v>TEST1003</v>
      </c>
      <c r="C30" s="13" t="str">
        <v>Test Student 1-03 (TNG)</v>
      </c>
      <c r="D30" s="13" t="str">
        <v>[TEST] B.Tech. Construction Engineering &amp; Management</v>
      </c>
      <c r="E30" s="13" t="str">
        <v>I</v>
      </c>
      <c r="F30" s="13" t="str">
        <v>T103</v>
      </c>
      <c r="G30" s="13" t="str">
        <v>Core Theory</v>
      </c>
      <c r="H30" s="13" t="str">
        <v>2026-27</v>
      </c>
      <c r="I30" s="13" t="str">
        <v>Oct 2026 TEST</v>
      </c>
      <c r="J30" s="13" t="str">
        <v>CA1</v>
      </c>
      <c r="K30" s="13" t="n">
        <v>3</v>
      </c>
      <c r="L30" s="13"/>
      <c r="M30" s="13"/>
      <c r="N30" s="9" t="n">
        <f>IF(INDEX('Course_Config'!$H$2:$H$7,R30)=0,0,IF(J30="ESE",INDEX('Course_Config'!$T$2:$T$7,R30),IF(J30="CA1",INDEX('Course_Config'!$K$2:$K$7,R30),IF(J30="CA2",INDEX('Course_Config'!$L$2:$L$7,R30),INDEX('Course_Config'!$M$2:$M$7,R30)))))</f>
        <v>10</v>
      </c>
      <c r="O30" s="9" t="n">
        <f>IF(INDEX('Course_Config'!$I$2:$I$7,R30)=0,0,IF(J30="ESE",INDEX('Course_Config'!$U$2:$U$7,R30),IF(J30="CA1",INDEX('Course_Config'!$N$2:$N$7,R30),IF(J30="CA2",INDEX('Course_Config'!$O$2:$O$7,R30),INDEX('Course_Config'!$P$2:$P$7,R30)))))</f>
        <v>0</v>
      </c>
      <c r="P30" s="9" t="n">
        <f>IF(INDEX('Course_Config'!$J$2:$J$7,R30)=0,0,IF(J30="ESE",INDEX('Course_Config'!$V$2:$V$7,R30),IF(J30="CA1",INDEX('Course_Config'!$Q$2:$Q$7,R30),IF(J30="CA2",INDEX('Course_Config'!$R$2:$R$7,R30),INDEX('Course_Config'!$S$2:$S$7,R30)))))</f>
        <v>0</v>
      </c>
      <c r="Q30" s="9" t="str">
        <f>IF(AND(IF(N30=0,OR(K30="",K30=0),OR(K30="",K30="AB",AND(ISNUMBER(K30),K30&gt;=0,K30&lt;=N30))),IF(O30=0,OR(L30="",L30=0),OR(L30="",L30="AB",AND(ISNUMBER(L30),L30&gt;=0,L30&lt;=O30))),IF(P30=0,OR(M30="",M30=0),OR(M30="",M30="AB",AND(ISNUMBER(M30),M30&gt;=0,M30&lt;=P30)))),"OK","INVALID")</f>
        <v>OK</v>
      </c>
      <c r="R30" s="9" t="n">
        <f>SUMIFS('Course_Config'!$AK$2:$AK$7,'Course_Config'!$AA$2:$AA$7,D30&amp;"|"&amp;F30&amp;"|"&amp;E30)</f>
        <v>3</v>
      </c>
      <c r="S30" s="9" t="str">
        <f>IF(COUNTIFS('Results'!$A$2:$A$13,B30,'Results'!$C$2:$C$13,F30,'Results'!$AP$2:$AP$13,D30,'Results'!$AK$2:$AK$13,E30,'Results'!$AI$2:$AI$13,H30,'Results'!$AJ$2:$AJ$13,I30,'Results'!$J$2:$J$13,"TG")=1,"TG","BLOCKED")</f>
        <v>BLOCKED</v>
      </c>
      <c r="T30" s="9" t="n">
        <f>INDEX('Course_Config'!$AH$2:$AH$7,R30)</f>
        <v>0</v>
      </c>
    </row>
    <row r="31">
      <c r="A31" s="9" t="n">
        <v>30</v>
      </c>
      <c r="B31" s="13" t="str">
        <v>TEST1003</v>
      </c>
      <c r="C31" s="13" t="str">
        <v>Test Student 1-03 (TNG)</v>
      </c>
      <c r="D31" s="13" t="str">
        <v>[TEST] B.Tech. Construction Engineering &amp; Management</v>
      </c>
      <c r="E31" s="13" t="str">
        <v>I</v>
      </c>
      <c r="F31" s="13" t="str">
        <v>T103</v>
      </c>
      <c r="G31" s="13" t="str">
        <v>Core Theory</v>
      </c>
      <c r="H31" s="13" t="str">
        <v>2026-27</v>
      </c>
      <c r="I31" s="13" t="str">
        <v>Oct 2026 TEST</v>
      </c>
      <c r="J31" s="13" t="str">
        <v>CA2</v>
      </c>
      <c r="K31" s="13" t="n">
        <v>3</v>
      </c>
      <c r="L31" s="13"/>
      <c r="M31" s="13"/>
      <c r="N31" s="9" t="n">
        <f>IF(INDEX('Course_Config'!$H$2:$H$7,R31)=0,0,IF(J31="ESE",INDEX('Course_Config'!$T$2:$T$7,R31),IF(J31="CA1",INDEX('Course_Config'!$K$2:$K$7,R31),IF(J31="CA2",INDEX('Course_Config'!$L$2:$L$7,R31),INDEX('Course_Config'!$M$2:$M$7,R31)))))</f>
        <v>10</v>
      </c>
      <c r="O31" s="9" t="n">
        <f>IF(INDEX('Course_Config'!$I$2:$I$7,R31)=0,0,IF(J31="ESE",INDEX('Course_Config'!$U$2:$U$7,R31),IF(J31="CA1",INDEX('Course_Config'!$N$2:$N$7,R31),IF(J31="CA2",INDEX('Course_Config'!$O$2:$O$7,R31),INDEX('Course_Config'!$P$2:$P$7,R31)))))</f>
        <v>0</v>
      </c>
      <c r="P31" s="9" t="n">
        <f>IF(INDEX('Course_Config'!$J$2:$J$7,R31)=0,0,IF(J31="ESE",INDEX('Course_Config'!$V$2:$V$7,R31),IF(J31="CA1",INDEX('Course_Config'!$Q$2:$Q$7,R31),IF(J31="CA2",INDEX('Course_Config'!$R$2:$R$7,R31),INDEX('Course_Config'!$S$2:$S$7,R31)))))</f>
        <v>0</v>
      </c>
      <c r="Q31" s="9" t="str">
        <f>IF(AND(IF(N31=0,OR(K31="",K31=0),OR(K31="",K31="AB",AND(ISNUMBER(K31),K31&gt;=0,K31&lt;=N31))),IF(O31=0,OR(L31="",L31=0),OR(L31="",L31="AB",AND(ISNUMBER(L31),L31&gt;=0,L31&lt;=O31))),IF(P31=0,OR(M31="",M31=0),OR(M31="",M31="AB",AND(ISNUMBER(M31),M31&gt;=0,M31&lt;=P31)))),"OK","INVALID")</f>
        <v>OK</v>
      </c>
      <c r="R31" s="9" t="n">
        <f>SUMIFS('Course_Config'!$AK$2:$AK$7,'Course_Config'!$AA$2:$AA$7,D31&amp;"|"&amp;F31&amp;"|"&amp;E31)</f>
        <v>3</v>
      </c>
      <c r="S31" s="9" t="str">
        <f>IF(COUNTIFS('Results'!$A$2:$A$13,B31,'Results'!$C$2:$C$13,F31,'Results'!$AP$2:$AP$13,D31,'Results'!$AK$2:$AK$13,E31,'Results'!$AI$2:$AI$13,H31,'Results'!$AJ$2:$AJ$13,I31,'Results'!$J$2:$J$13,"TG")=1,"TG","BLOCKED")</f>
        <v>BLOCKED</v>
      </c>
      <c r="T31" s="9" t="n">
        <f>INDEX('Course_Config'!$AH$2:$AH$7,R31)</f>
        <v>0</v>
      </c>
    </row>
    <row r="32">
      <c r="A32" s="9" t="n">
        <v>31</v>
      </c>
      <c r="B32" s="13" t="str">
        <v>TEST1003</v>
      </c>
      <c r="C32" s="13" t="str">
        <v>Test Student 1-03 (TNG)</v>
      </c>
      <c r="D32" s="13" t="str">
        <v>[TEST] B.Tech. Construction Engineering &amp; Management</v>
      </c>
      <c r="E32" s="13" t="str">
        <v>I</v>
      </c>
      <c r="F32" s="13" t="str">
        <v>T103</v>
      </c>
      <c r="G32" s="13" t="str">
        <v>Core Theory</v>
      </c>
      <c r="H32" s="13" t="str">
        <v>2026-27</v>
      </c>
      <c r="I32" s="13" t="str">
        <v>Oct 2026 TEST</v>
      </c>
      <c r="J32" s="13" t="str">
        <v>CA3</v>
      </c>
      <c r="K32" s="13" t="n">
        <v>3</v>
      </c>
      <c r="L32" s="13"/>
      <c r="M32" s="13"/>
      <c r="N32" s="9" t="n">
        <f>IF(INDEX('Course_Config'!$H$2:$H$7,R32)=0,0,IF(J32="ESE",INDEX('Course_Config'!$T$2:$T$7,R32),IF(J32="CA1",INDEX('Course_Config'!$K$2:$K$7,R32),IF(J32="CA2",INDEX('Course_Config'!$L$2:$L$7,R32),INDEX('Course_Config'!$M$2:$M$7,R32)))))</f>
        <v>10</v>
      </c>
      <c r="O32" s="9" t="n">
        <f>IF(INDEX('Course_Config'!$I$2:$I$7,R32)=0,0,IF(J32="ESE",INDEX('Course_Config'!$U$2:$U$7,R32),IF(J32="CA1",INDEX('Course_Config'!$N$2:$N$7,R32),IF(J32="CA2",INDEX('Course_Config'!$O$2:$O$7,R32),INDEX('Course_Config'!$P$2:$P$7,R32)))))</f>
        <v>0</v>
      </c>
      <c r="P32" s="9" t="n">
        <f>IF(INDEX('Course_Config'!$J$2:$J$7,R32)=0,0,IF(J32="ESE",INDEX('Course_Config'!$V$2:$V$7,R32),IF(J32="CA1",INDEX('Course_Config'!$Q$2:$Q$7,R32),IF(J32="CA2",INDEX('Course_Config'!$R$2:$R$7,R32),INDEX('Course_Config'!$S$2:$S$7,R32)))))</f>
        <v>0</v>
      </c>
      <c r="Q32" s="9" t="str">
        <f>IF(AND(IF(N32=0,OR(K32="",K32=0),OR(K32="",K32="AB",AND(ISNUMBER(K32),K32&gt;=0,K32&lt;=N32))),IF(O32=0,OR(L32="",L32=0),OR(L32="",L32="AB",AND(ISNUMBER(L32),L32&gt;=0,L32&lt;=O32))),IF(P32=0,OR(M32="",M32=0),OR(M32="",M32="AB",AND(ISNUMBER(M32),M32&gt;=0,M32&lt;=P32)))),"OK","INVALID")</f>
        <v>OK</v>
      </c>
      <c r="R32" s="9" t="n">
        <f>SUMIFS('Course_Config'!$AK$2:$AK$7,'Course_Config'!$AA$2:$AA$7,D32&amp;"|"&amp;F32&amp;"|"&amp;E32)</f>
        <v>3</v>
      </c>
      <c r="S32" s="9" t="str">
        <f>IF(COUNTIFS('Results'!$A$2:$A$13,B32,'Results'!$C$2:$C$13,F32,'Results'!$AP$2:$AP$13,D32,'Results'!$AK$2:$AK$13,E32,'Results'!$AI$2:$AI$13,H32,'Results'!$AJ$2:$AJ$13,I32,'Results'!$J$2:$J$13,"TG")=1,"TG","BLOCKED")</f>
        <v>BLOCKED</v>
      </c>
      <c r="T32" s="9" t="n">
        <f>INDEX('Course_Config'!$AH$2:$AH$7,R32)</f>
        <v>0</v>
      </c>
    </row>
    <row r="33">
      <c r="A33" s="9" t="n">
        <v>32</v>
      </c>
      <c r="B33" s="13" t="str">
        <v>TEST1003</v>
      </c>
      <c r="C33" s="13" t="str">
        <v>Test Student 1-03 (TNG)</v>
      </c>
      <c r="D33" s="13" t="str">
        <v>[TEST] B.Tech. Construction Engineering &amp; Management</v>
      </c>
      <c r="E33" s="13" t="str">
        <v>I</v>
      </c>
      <c r="F33" s="13" t="str">
        <v>T103</v>
      </c>
      <c r="G33" s="13" t="str">
        <v>Core Theory</v>
      </c>
      <c r="H33" s="13" t="str">
        <v>2026-27</v>
      </c>
      <c r="I33" s="13" t="str">
        <v>Oct 2026 TEST</v>
      </c>
      <c r="J33" s="13" t="str">
        <v>ESE</v>
      </c>
      <c r="K33" s="13"/>
      <c r="L33" s="13"/>
      <c r="M33" s="13"/>
      <c r="N33" s="9" t="n">
        <f>IF(INDEX('Course_Config'!$H$2:$H$7,R33)=0,0,IF(J33="ESE",INDEX('Course_Config'!$T$2:$T$7,R33),IF(J33="CA1",INDEX('Course_Config'!$K$2:$K$7,R33),IF(J33="CA2",INDEX('Course_Config'!$L$2:$L$7,R33),INDEX('Course_Config'!$M$2:$M$7,R33)))))</f>
        <v>30</v>
      </c>
      <c r="O33" s="9" t="n">
        <f>IF(INDEX('Course_Config'!$I$2:$I$7,R33)=0,0,IF(J33="ESE",INDEX('Course_Config'!$U$2:$U$7,R33),IF(J33="CA1",INDEX('Course_Config'!$N$2:$N$7,R33),IF(J33="CA2",INDEX('Course_Config'!$O$2:$O$7,R33),INDEX('Course_Config'!$P$2:$P$7,R33)))))</f>
        <v>0</v>
      </c>
      <c r="P33" s="9" t="n">
        <f>IF(INDEX('Course_Config'!$J$2:$J$7,R33)=0,0,IF(J33="ESE",INDEX('Course_Config'!$V$2:$V$7,R33),IF(J33="CA1",INDEX('Course_Config'!$Q$2:$Q$7,R33),IF(J33="CA2",INDEX('Course_Config'!$R$2:$R$7,R33),INDEX('Course_Config'!$S$2:$S$7,R33)))))</f>
        <v>0</v>
      </c>
      <c r="Q33" s="9" t="str">
        <f>IF(AND(IF(N33=0,OR(K33="",K33=0),OR(K33="",K33="AB",AND(ISNUMBER(K33),K33&gt;=0,K33&lt;=N33))),IF(O33=0,OR(L33="",L33=0),OR(L33="",L33="AB",AND(ISNUMBER(L33),L33&gt;=0,L33&lt;=O33))),IF(P33=0,OR(M33="",M33=0),OR(M33="",M33="AB",AND(ISNUMBER(M33),M33&gt;=0,M33&lt;=P33)))),"OK","INVALID")</f>
        <v>OK</v>
      </c>
      <c r="R33" s="9" t="n">
        <f>SUMIFS('Course_Config'!$AK$2:$AK$7,'Course_Config'!$AA$2:$AA$7,D33&amp;"|"&amp;F33&amp;"|"&amp;E33)</f>
        <v>3</v>
      </c>
      <c r="S33" s="9" t="str">
        <f>IF(COUNTIFS('Results'!$A$2:$A$13,B33,'Results'!$C$2:$C$13,F33,'Results'!$AP$2:$AP$13,D33,'Results'!$AK$2:$AK$13,E33,'Results'!$AI$2:$AI$13,H33,'Results'!$AJ$2:$AJ$13,I33,'Results'!$J$2:$J$13,"TG")=1,"TG","BLOCKED")</f>
        <v>BLOCKED</v>
      </c>
      <c r="T33" s="9" t="n">
        <f>INDEX('Course_Config'!$AH$2:$AH$7,R33)</f>
        <v>0</v>
      </c>
    </row>
    <row r="34">
      <c r="A34" s="9" t="n">
        <v>33</v>
      </c>
      <c r="B34" s="13" t="str">
        <v>TEST1005</v>
      </c>
      <c r="C34" s="13" t="str">
        <v>Test Student 1-05 (PENDING)</v>
      </c>
      <c r="D34" s="13" t="str">
        <v>[TEST] B.Tech. Construction Engineering &amp; Management</v>
      </c>
      <c r="E34" s="13" t="str">
        <v>I</v>
      </c>
      <c r="F34" s="13" t="str">
        <v>T103</v>
      </c>
      <c r="G34" s="13" t="str">
        <v>Core Theory</v>
      </c>
      <c r="H34" s="13" t="str">
        <v>2026-27</v>
      </c>
      <c r="I34" s="13" t="str">
        <v>Oct 2026 TEST</v>
      </c>
      <c r="J34" s="13" t="str">
        <v>CA1</v>
      </c>
      <c r="K34" s="13" t="n">
        <v>8</v>
      </c>
      <c r="L34" s="13"/>
      <c r="M34" s="13"/>
      <c r="N34" s="9" t="n">
        <f>IF(INDEX('Course_Config'!$H$2:$H$7,R34)=0,0,IF(J34="ESE",INDEX('Course_Config'!$T$2:$T$7,R34),IF(J34="CA1",INDEX('Course_Config'!$K$2:$K$7,R34),IF(J34="CA2",INDEX('Course_Config'!$L$2:$L$7,R34),INDEX('Course_Config'!$M$2:$M$7,R34)))))</f>
        <v>10</v>
      </c>
      <c r="O34" s="9" t="n">
        <f>IF(INDEX('Course_Config'!$I$2:$I$7,R34)=0,0,IF(J34="ESE",INDEX('Course_Config'!$U$2:$U$7,R34),IF(J34="CA1",INDEX('Course_Config'!$N$2:$N$7,R34),IF(J34="CA2",INDEX('Course_Config'!$O$2:$O$7,R34),INDEX('Course_Config'!$P$2:$P$7,R34)))))</f>
        <v>0</v>
      </c>
      <c r="P34" s="9" t="n">
        <f>IF(INDEX('Course_Config'!$J$2:$J$7,R34)=0,0,IF(J34="ESE",INDEX('Course_Config'!$V$2:$V$7,R34),IF(J34="CA1",INDEX('Course_Config'!$Q$2:$Q$7,R34),IF(J34="CA2",INDEX('Course_Config'!$R$2:$R$7,R34),INDEX('Course_Config'!$S$2:$S$7,R34)))))</f>
        <v>0</v>
      </c>
      <c r="Q34" s="9" t="str">
        <f>IF(AND(IF(N34=0,OR(K34="",K34=0),OR(K34="",K34="AB",AND(ISNUMBER(K34),K34&gt;=0,K34&lt;=N34))),IF(O34=0,OR(L34="",L34=0),OR(L34="",L34="AB",AND(ISNUMBER(L34),L34&gt;=0,L34&lt;=O34))),IF(P34=0,OR(M34="",M34=0),OR(M34="",M34="AB",AND(ISNUMBER(M34),M34&gt;=0,M34&lt;=P34)))),"OK","INVALID")</f>
        <v>OK</v>
      </c>
      <c r="R34" s="9" t="n">
        <f>SUMIFS('Course_Config'!$AK$2:$AK$7,'Course_Config'!$AA$2:$AA$7,D34&amp;"|"&amp;F34&amp;"|"&amp;E34)</f>
        <v>3</v>
      </c>
      <c r="S34" s="9" t="str">
        <f>IF(COUNTIFS('Results'!$A$2:$A$13,B34,'Results'!$C$2:$C$13,F34,'Results'!$AP$2:$AP$13,D34,'Results'!$AK$2:$AK$13,E34,'Results'!$AI$2:$AI$13,H34,'Results'!$AJ$2:$AJ$13,I34,'Results'!$J$2:$J$13,"TG")=1,"TG","BLOCKED")</f>
        <v>BLOCKED</v>
      </c>
      <c r="T34" s="9" t="n">
        <f>INDEX('Course_Config'!$AH$2:$AH$7,R34)</f>
        <v>0</v>
      </c>
    </row>
    <row r="35">
      <c r="A35" s="9" t="n">
        <v>34</v>
      </c>
      <c r="B35" s="13" t="str">
        <v>TEST1005</v>
      </c>
      <c r="C35" s="13" t="str">
        <v>Test Student 1-05 (PENDING)</v>
      </c>
      <c r="D35" s="13" t="str">
        <v>[TEST] B.Tech. Construction Engineering &amp; Management</v>
      </c>
      <c r="E35" s="13" t="str">
        <v>I</v>
      </c>
      <c r="F35" s="13" t="str">
        <v>T103</v>
      </c>
      <c r="G35" s="13" t="str">
        <v>Core Theory</v>
      </c>
      <c r="H35" s="13" t="str">
        <v>2026-27</v>
      </c>
      <c r="I35" s="13" t="str">
        <v>Oct 2026 TEST</v>
      </c>
      <c r="J35" s="13" t="str">
        <v>CA2</v>
      </c>
      <c r="K35" s="13" t="n">
        <v>8</v>
      </c>
      <c r="L35" s="13"/>
      <c r="M35" s="13"/>
      <c r="N35" s="9" t="n">
        <f>IF(INDEX('Course_Config'!$H$2:$H$7,R35)=0,0,IF(J35="ESE",INDEX('Course_Config'!$T$2:$T$7,R35),IF(J35="CA1",INDEX('Course_Config'!$K$2:$K$7,R35),IF(J35="CA2",INDEX('Course_Config'!$L$2:$L$7,R35),INDEX('Course_Config'!$M$2:$M$7,R35)))))</f>
        <v>10</v>
      </c>
      <c r="O35" s="9" t="n">
        <f>IF(INDEX('Course_Config'!$I$2:$I$7,R35)=0,0,IF(J35="ESE",INDEX('Course_Config'!$U$2:$U$7,R35),IF(J35="CA1",INDEX('Course_Config'!$N$2:$N$7,R35),IF(J35="CA2",INDEX('Course_Config'!$O$2:$O$7,R35),INDEX('Course_Config'!$P$2:$P$7,R35)))))</f>
        <v>0</v>
      </c>
      <c r="P35" s="9" t="n">
        <f>IF(INDEX('Course_Config'!$J$2:$J$7,R35)=0,0,IF(J35="ESE",INDEX('Course_Config'!$V$2:$V$7,R35),IF(J35="CA1",INDEX('Course_Config'!$Q$2:$Q$7,R35),IF(J35="CA2",INDEX('Course_Config'!$R$2:$R$7,R35),INDEX('Course_Config'!$S$2:$S$7,R35)))))</f>
        <v>0</v>
      </c>
      <c r="Q35" s="9" t="str">
        <f>IF(AND(IF(N35=0,OR(K35="",K35=0),OR(K35="",K35="AB",AND(ISNUMBER(K35),K35&gt;=0,K35&lt;=N35))),IF(O35=0,OR(L35="",L35=0),OR(L35="",L35="AB",AND(ISNUMBER(L35),L35&gt;=0,L35&lt;=O35))),IF(P35=0,OR(M35="",M35=0),OR(M35="",M35="AB",AND(ISNUMBER(M35),M35&gt;=0,M35&lt;=P35)))),"OK","INVALID")</f>
        <v>OK</v>
      </c>
      <c r="R35" s="9" t="n">
        <f>SUMIFS('Course_Config'!$AK$2:$AK$7,'Course_Config'!$AA$2:$AA$7,D35&amp;"|"&amp;F35&amp;"|"&amp;E35)</f>
        <v>3</v>
      </c>
      <c r="S35" s="9" t="str">
        <f>IF(COUNTIFS('Results'!$A$2:$A$13,B35,'Results'!$C$2:$C$13,F35,'Results'!$AP$2:$AP$13,D35,'Results'!$AK$2:$AK$13,E35,'Results'!$AI$2:$AI$13,H35,'Results'!$AJ$2:$AJ$13,I35,'Results'!$J$2:$J$13,"TG")=1,"TG","BLOCKED")</f>
        <v>BLOCKED</v>
      </c>
      <c r="T35" s="9" t="n">
        <f>INDEX('Course_Config'!$AH$2:$AH$7,R35)</f>
        <v>0</v>
      </c>
    </row>
    <row r="36">
      <c r="A36" s="9" t="n">
        <v>35</v>
      </c>
      <c r="B36" s="13" t="str">
        <v>TEST1005</v>
      </c>
      <c r="C36" s="13" t="str">
        <v>Test Student 1-05 (PENDING)</v>
      </c>
      <c r="D36" s="13" t="str">
        <v>[TEST] B.Tech. Construction Engineering &amp; Management</v>
      </c>
      <c r="E36" s="13" t="str">
        <v>I</v>
      </c>
      <c r="F36" s="13" t="str">
        <v>T103</v>
      </c>
      <c r="G36" s="13" t="str">
        <v>Core Theory</v>
      </c>
      <c r="H36" s="13" t="str">
        <v>2026-27</v>
      </c>
      <c r="I36" s="13" t="str">
        <v>Oct 2026 TEST</v>
      </c>
      <c r="J36" s="13" t="str">
        <v>CA3</v>
      </c>
      <c r="K36" s="13"/>
      <c r="L36" s="13"/>
      <c r="M36" s="13"/>
      <c r="N36" s="9" t="n">
        <f>IF(INDEX('Course_Config'!$H$2:$H$7,R36)=0,0,IF(J36="ESE",INDEX('Course_Config'!$T$2:$T$7,R36),IF(J36="CA1",INDEX('Course_Config'!$K$2:$K$7,R36),IF(J36="CA2",INDEX('Course_Config'!$L$2:$L$7,R36),INDEX('Course_Config'!$M$2:$M$7,R36)))))</f>
        <v>10</v>
      </c>
      <c r="O36" s="9" t="n">
        <f>IF(INDEX('Course_Config'!$I$2:$I$7,R36)=0,0,IF(J36="ESE",INDEX('Course_Config'!$U$2:$U$7,R36),IF(J36="CA1",INDEX('Course_Config'!$N$2:$N$7,R36),IF(J36="CA2",INDEX('Course_Config'!$O$2:$O$7,R36),INDEX('Course_Config'!$P$2:$P$7,R36)))))</f>
        <v>0</v>
      </c>
      <c r="P36" s="9" t="n">
        <f>IF(INDEX('Course_Config'!$J$2:$J$7,R36)=0,0,IF(J36="ESE",INDEX('Course_Config'!$V$2:$V$7,R36),IF(J36="CA1",INDEX('Course_Config'!$Q$2:$Q$7,R36),IF(J36="CA2",INDEX('Course_Config'!$R$2:$R$7,R36),INDEX('Course_Config'!$S$2:$S$7,R36)))))</f>
        <v>0</v>
      </c>
      <c r="Q36" s="9" t="str">
        <f>IF(AND(IF(N36=0,OR(K36="",K36=0),OR(K36="",K36="AB",AND(ISNUMBER(K36),K36&gt;=0,K36&lt;=N36))),IF(O36=0,OR(L36="",L36=0),OR(L36="",L36="AB",AND(ISNUMBER(L36),L36&gt;=0,L36&lt;=O36))),IF(P36=0,OR(M36="",M36=0),OR(M36="",M36="AB",AND(ISNUMBER(M36),M36&gt;=0,M36&lt;=P36)))),"OK","INVALID")</f>
        <v>OK</v>
      </c>
      <c r="R36" s="9" t="n">
        <f>SUMIFS('Course_Config'!$AK$2:$AK$7,'Course_Config'!$AA$2:$AA$7,D36&amp;"|"&amp;F36&amp;"|"&amp;E36)</f>
        <v>3</v>
      </c>
      <c r="S36" s="9" t="str">
        <f>IF(COUNTIFS('Results'!$A$2:$A$13,B36,'Results'!$C$2:$C$13,F36,'Results'!$AP$2:$AP$13,D36,'Results'!$AK$2:$AK$13,E36,'Results'!$AI$2:$AI$13,H36,'Results'!$AJ$2:$AJ$13,I36,'Results'!$J$2:$J$13,"TG")=1,"TG","BLOCKED")</f>
        <v>BLOCKED</v>
      </c>
      <c r="T36" s="9" t="n">
        <f>INDEX('Course_Config'!$AH$2:$AH$7,R36)</f>
        <v>0</v>
      </c>
    </row>
    <row r="37">
      <c r="A37" s="9" t="n">
        <v>36</v>
      </c>
      <c r="B37" s="13" t="str">
        <v>TEST1005</v>
      </c>
      <c r="C37" s="13" t="str">
        <v>Test Student 1-05 (PENDING)</v>
      </c>
      <c r="D37" s="13" t="str">
        <v>[TEST] B.Tech. Construction Engineering &amp; Management</v>
      </c>
      <c r="E37" s="13" t="str">
        <v>I</v>
      </c>
      <c r="F37" s="13" t="str">
        <v>T103</v>
      </c>
      <c r="G37" s="13" t="str">
        <v>Core Theory</v>
      </c>
      <c r="H37" s="13" t="str">
        <v>2026-27</v>
      </c>
      <c r="I37" s="13" t="str">
        <v>Oct 2026 TEST</v>
      </c>
      <c r="J37" s="13" t="str">
        <v>ESE</v>
      </c>
      <c r="K37" s="13"/>
      <c r="L37" s="13"/>
      <c r="M37" s="13"/>
      <c r="N37" s="9" t="n">
        <f>IF(INDEX('Course_Config'!$H$2:$H$7,R37)=0,0,IF(J37="ESE",INDEX('Course_Config'!$T$2:$T$7,R37),IF(J37="CA1",INDEX('Course_Config'!$K$2:$K$7,R37),IF(J37="CA2",INDEX('Course_Config'!$L$2:$L$7,R37),INDEX('Course_Config'!$M$2:$M$7,R37)))))</f>
        <v>30</v>
      </c>
      <c r="O37" s="9" t="n">
        <f>IF(INDEX('Course_Config'!$I$2:$I$7,R37)=0,0,IF(J37="ESE",INDEX('Course_Config'!$U$2:$U$7,R37),IF(J37="CA1",INDEX('Course_Config'!$N$2:$N$7,R37),IF(J37="CA2",INDEX('Course_Config'!$O$2:$O$7,R37),INDEX('Course_Config'!$P$2:$P$7,R37)))))</f>
        <v>0</v>
      </c>
      <c r="P37" s="9" t="n">
        <f>IF(INDEX('Course_Config'!$J$2:$J$7,R37)=0,0,IF(J37="ESE",INDEX('Course_Config'!$V$2:$V$7,R37),IF(J37="CA1",INDEX('Course_Config'!$Q$2:$Q$7,R37),IF(J37="CA2",INDEX('Course_Config'!$R$2:$R$7,R37),INDEX('Course_Config'!$S$2:$S$7,R37)))))</f>
        <v>0</v>
      </c>
      <c r="Q37" s="9" t="str">
        <f>IF(AND(IF(N37=0,OR(K37="",K37=0),OR(K37="",K37="AB",AND(ISNUMBER(K37),K37&gt;=0,K37&lt;=N37))),IF(O37=0,OR(L37="",L37=0),OR(L37="",L37="AB",AND(ISNUMBER(L37),L37&gt;=0,L37&lt;=O37))),IF(P37=0,OR(M37="",M37=0),OR(M37="",M37="AB",AND(ISNUMBER(M37),M37&gt;=0,M37&lt;=P37)))),"OK","INVALID")</f>
        <v>OK</v>
      </c>
      <c r="R37" s="9" t="n">
        <f>SUMIFS('Course_Config'!$AK$2:$AK$7,'Course_Config'!$AA$2:$AA$7,D37&amp;"|"&amp;F37&amp;"|"&amp;E37)</f>
        <v>3</v>
      </c>
      <c r="S37" s="9" t="str">
        <f>IF(COUNTIFS('Results'!$A$2:$A$13,B37,'Results'!$C$2:$C$13,F37,'Results'!$AP$2:$AP$13,D37,'Results'!$AK$2:$AK$13,E37,'Results'!$AI$2:$AI$13,H37,'Results'!$AJ$2:$AJ$13,I37,'Results'!$J$2:$J$13,"TG")=1,"TG","BLOCKED")</f>
        <v>BLOCKED</v>
      </c>
      <c r="T37" s="9" t="n">
        <f>INDEX('Course_Config'!$AH$2:$AH$7,R37)</f>
        <v>0</v>
      </c>
    </row>
    <row r="38">
      <c r="A38" s="9" t="n">
        <v>37</v>
      </c>
      <c r="B38" s="13" t="str">
        <v>TEST5001</v>
      </c>
      <c r="C38" s="13" t="str">
        <v>Test Student 5-01 (PASS)</v>
      </c>
      <c r="D38" s="13" t="str">
        <v>[TEST] B.Arch. Architecture</v>
      </c>
      <c r="E38" s="13" t="str">
        <v>I</v>
      </c>
      <c r="F38" s="13" t="str">
        <v>T501</v>
      </c>
      <c r="G38" s="13" t="str">
        <v>Integrated Foundation</v>
      </c>
      <c r="H38" s="13" t="str">
        <v>2026-27</v>
      </c>
      <c r="I38" s="13" t="str">
        <v>Oct 2026 TEST</v>
      </c>
      <c r="J38" s="13" t="str">
        <v>CA1</v>
      </c>
      <c r="K38" s="13" t="n">
        <v>8</v>
      </c>
      <c r="L38" s="13" t="n">
        <v>8</v>
      </c>
      <c r="M38" s="13" t="n">
        <v>8</v>
      </c>
      <c r="N38" s="9" t="n">
        <f>IF(INDEX('Course_Config'!$H$2:$H$7,R38)=0,0,IF(J38="ESE",INDEX('Course_Config'!$T$2:$T$7,R38),IF(J38="CA1",INDEX('Course_Config'!$K$2:$K$7,R38),IF(J38="CA2",INDEX('Course_Config'!$L$2:$L$7,R38),INDEX('Course_Config'!$M$2:$M$7,R38)))))</f>
        <v>10</v>
      </c>
      <c r="O38" s="9" t="n">
        <f>IF(INDEX('Course_Config'!$I$2:$I$7,R38)=0,0,IF(J38="ESE",INDEX('Course_Config'!$U$2:$U$7,R38),IF(J38="CA1",INDEX('Course_Config'!$N$2:$N$7,R38),IF(J38="CA2",INDEX('Course_Config'!$O$2:$O$7,R38),INDEX('Course_Config'!$P$2:$P$7,R38)))))</f>
        <v>10</v>
      </c>
      <c r="P38" s="9" t="n">
        <f>IF(INDEX('Course_Config'!$J$2:$J$7,R38)=0,0,IF(J38="ESE",INDEX('Course_Config'!$V$2:$V$7,R38),IF(J38="CA1",INDEX('Course_Config'!$Q$2:$Q$7,R38),IF(J38="CA2",INDEX('Course_Config'!$R$2:$R$7,R38),INDEX('Course_Config'!$S$2:$S$7,R38)))))</f>
        <v>10</v>
      </c>
      <c r="Q38" s="9" t="str">
        <f>IF(AND(IF(N38=0,OR(K38="",K38=0),OR(K38="",K38="AB",AND(ISNUMBER(K38),K38&gt;=0,K38&lt;=N38))),IF(O38=0,OR(L38="",L38=0),OR(L38="",L38="AB",AND(ISNUMBER(L38),L38&gt;=0,L38&lt;=O38))),IF(P38=0,OR(M38="",M38=0),OR(M38="",M38="AB",AND(ISNUMBER(M38),M38&gt;=0,M38&lt;=P38)))),"OK","INVALID")</f>
        <v>OK</v>
      </c>
      <c r="R38" s="9" t="n">
        <f>SUMIFS('Course_Config'!$AK$2:$AK$7,'Course_Config'!$AA$2:$AA$7,D38&amp;"|"&amp;F38&amp;"|"&amp;E38)</f>
        <v>4</v>
      </c>
      <c r="S38" s="9" t="str">
        <f>IF(COUNTIFS('Results'!$A$2:$A$13,B38,'Results'!$C$2:$C$13,F38,'Results'!$AP$2:$AP$13,D38,'Results'!$AK$2:$AK$13,E38,'Results'!$AI$2:$AI$13,H38,'Results'!$AJ$2:$AJ$13,I38,'Results'!$J$2:$J$13,"TG")=1,"TG","BLOCKED")</f>
        <v>TG</v>
      </c>
      <c r="T38" s="9" t="n">
        <f>INDEX('Course_Config'!$AH$2:$AH$7,R38)</f>
        <v>0</v>
      </c>
    </row>
    <row r="39">
      <c r="A39" s="9" t="n">
        <v>38</v>
      </c>
      <c r="B39" s="13" t="str">
        <v>TEST5001</v>
      </c>
      <c r="C39" s="13" t="str">
        <v>Test Student 5-01 (PASS)</v>
      </c>
      <c r="D39" s="13" t="str">
        <v>[TEST] B.Arch. Architecture</v>
      </c>
      <c r="E39" s="13" t="str">
        <v>I</v>
      </c>
      <c r="F39" s="13" t="str">
        <v>T501</v>
      </c>
      <c r="G39" s="13" t="str">
        <v>Integrated Foundation</v>
      </c>
      <c r="H39" s="13" t="str">
        <v>2026-27</v>
      </c>
      <c r="I39" s="13" t="str">
        <v>Oct 2026 TEST</v>
      </c>
      <c r="J39" s="13" t="str">
        <v>CA2</v>
      </c>
      <c r="K39" s="13" t="n">
        <v>8</v>
      </c>
      <c r="L39" s="13" t="n">
        <v>8</v>
      </c>
      <c r="M39" s="13" t="n">
        <v>8</v>
      </c>
      <c r="N39" s="9" t="n">
        <f>IF(INDEX('Course_Config'!$H$2:$H$7,R39)=0,0,IF(J39="ESE",INDEX('Course_Config'!$T$2:$T$7,R39),IF(J39="CA1",INDEX('Course_Config'!$K$2:$K$7,R39),IF(J39="CA2",INDEX('Course_Config'!$L$2:$L$7,R39),INDEX('Course_Config'!$M$2:$M$7,R39)))))</f>
        <v>10</v>
      </c>
      <c r="O39" s="9" t="n">
        <f>IF(INDEX('Course_Config'!$I$2:$I$7,R39)=0,0,IF(J39="ESE",INDEX('Course_Config'!$U$2:$U$7,R39),IF(J39="CA1",INDEX('Course_Config'!$N$2:$N$7,R39),IF(J39="CA2",INDEX('Course_Config'!$O$2:$O$7,R39),INDEX('Course_Config'!$P$2:$P$7,R39)))))</f>
        <v>10</v>
      </c>
      <c r="P39" s="9" t="n">
        <f>IF(INDEX('Course_Config'!$J$2:$J$7,R39)=0,0,IF(J39="ESE",INDEX('Course_Config'!$V$2:$V$7,R39),IF(J39="CA1",INDEX('Course_Config'!$Q$2:$Q$7,R39),IF(J39="CA2",INDEX('Course_Config'!$R$2:$R$7,R39),INDEX('Course_Config'!$S$2:$S$7,R39)))))</f>
        <v>10</v>
      </c>
      <c r="Q39" s="9" t="str">
        <f>IF(AND(IF(N39=0,OR(K39="",K39=0),OR(K39="",K39="AB",AND(ISNUMBER(K39),K39&gt;=0,K39&lt;=N39))),IF(O39=0,OR(L39="",L39=0),OR(L39="",L39="AB",AND(ISNUMBER(L39),L39&gt;=0,L39&lt;=O39))),IF(P39=0,OR(M39="",M39=0),OR(M39="",M39="AB",AND(ISNUMBER(M39),M39&gt;=0,M39&lt;=P39)))),"OK","INVALID")</f>
        <v>OK</v>
      </c>
      <c r="R39" s="9" t="n">
        <f>SUMIFS('Course_Config'!$AK$2:$AK$7,'Course_Config'!$AA$2:$AA$7,D39&amp;"|"&amp;F39&amp;"|"&amp;E39)</f>
        <v>4</v>
      </c>
      <c r="S39" s="9" t="str">
        <f>IF(COUNTIFS('Results'!$A$2:$A$13,B39,'Results'!$C$2:$C$13,F39,'Results'!$AP$2:$AP$13,D39,'Results'!$AK$2:$AK$13,E39,'Results'!$AI$2:$AI$13,H39,'Results'!$AJ$2:$AJ$13,I39,'Results'!$J$2:$J$13,"TG")=1,"TG","BLOCKED")</f>
        <v>TG</v>
      </c>
      <c r="T39" s="9" t="n">
        <f>INDEX('Course_Config'!$AH$2:$AH$7,R39)</f>
        <v>0</v>
      </c>
    </row>
    <row r="40">
      <c r="A40" s="9" t="n">
        <v>39</v>
      </c>
      <c r="B40" s="13" t="str">
        <v>TEST5001</v>
      </c>
      <c r="C40" s="13" t="str">
        <v>Test Student 5-01 (PASS)</v>
      </c>
      <c r="D40" s="13" t="str">
        <v>[TEST] B.Arch. Architecture</v>
      </c>
      <c r="E40" s="13" t="str">
        <v>I</v>
      </c>
      <c r="F40" s="13" t="str">
        <v>T501</v>
      </c>
      <c r="G40" s="13" t="str">
        <v>Integrated Foundation</v>
      </c>
      <c r="H40" s="13" t="str">
        <v>2026-27</v>
      </c>
      <c r="I40" s="13" t="str">
        <v>Oct 2026 TEST</v>
      </c>
      <c r="J40" s="13" t="str">
        <v>CA3</v>
      </c>
      <c r="K40" s="13" t="n">
        <v>8</v>
      </c>
      <c r="L40" s="13" t="n">
        <v>8</v>
      </c>
      <c r="M40" s="13" t="n">
        <v>8</v>
      </c>
      <c r="N40" s="9" t="n">
        <f>IF(INDEX('Course_Config'!$H$2:$H$7,R40)=0,0,IF(J40="ESE",INDEX('Course_Config'!$T$2:$T$7,R40),IF(J40="CA1",INDEX('Course_Config'!$K$2:$K$7,R40),IF(J40="CA2",INDEX('Course_Config'!$L$2:$L$7,R40),INDEX('Course_Config'!$M$2:$M$7,R40)))))</f>
        <v>10</v>
      </c>
      <c r="O40" s="9" t="n">
        <f>IF(INDEX('Course_Config'!$I$2:$I$7,R40)=0,0,IF(J40="ESE",INDEX('Course_Config'!$U$2:$U$7,R40),IF(J40="CA1",INDEX('Course_Config'!$N$2:$N$7,R40),IF(J40="CA2",INDEX('Course_Config'!$O$2:$O$7,R40),INDEX('Course_Config'!$P$2:$P$7,R40)))))</f>
        <v>10</v>
      </c>
      <c r="P40" s="9" t="n">
        <f>IF(INDEX('Course_Config'!$J$2:$J$7,R40)=0,0,IF(J40="ESE",INDEX('Course_Config'!$V$2:$V$7,R40),IF(J40="CA1",INDEX('Course_Config'!$Q$2:$Q$7,R40),IF(J40="CA2",INDEX('Course_Config'!$R$2:$R$7,R40),INDEX('Course_Config'!$S$2:$S$7,R40)))))</f>
        <v>10</v>
      </c>
      <c r="Q40" s="9" t="str">
        <f>IF(AND(IF(N40=0,OR(K40="",K40=0),OR(K40="",K40="AB",AND(ISNUMBER(K40),K40&gt;=0,K40&lt;=N40))),IF(O40=0,OR(L40="",L40=0),OR(L40="",L40="AB",AND(ISNUMBER(L40),L40&gt;=0,L40&lt;=O40))),IF(P40=0,OR(M40="",M40=0),OR(M40="",M40="AB",AND(ISNUMBER(M40),M40&gt;=0,M40&lt;=P40)))),"OK","INVALID")</f>
        <v>OK</v>
      </c>
      <c r="R40" s="9" t="n">
        <f>SUMIFS('Course_Config'!$AK$2:$AK$7,'Course_Config'!$AA$2:$AA$7,D40&amp;"|"&amp;F40&amp;"|"&amp;E40)</f>
        <v>4</v>
      </c>
      <c r="S40" s="9" t="str">
        <f>IF(COUNTIFS('Results'!$A$2:$A$13,B40,'Results'!$C$2:$C$13,F40,'Results'!$AP$2:$AP$13,D40,'Results'!$AK$2:$AK$13,E40,'Results'!$AI$2:$AI$13,H40,'Results'!$AJ$2:$AJ$13,I40,'Results'!$J$2:$J$13,"TG")=1,"TG","BLOCKED")</f>
        <v>TG</v>
      </c>
      <c r="T40" s="9" t="n">
        <f>INDEX('Course_Config'!$AH$2:$AH$7,R40)</f>
        <v>0</v>
      </c>
    </row>
    <row r="41">
      <c r="A41" s="9" t="n">
        <v>40</v>
      </c>
      <c r="B41" s="13" t="str">
        <v>TEST5001</v>
      </c>
      <c r="C41" s="13" t="str">
        <v>Test Student 5-01 (PASS)</v>
      </c>
      <c r="D41" s="13" t="str">
        <v>[TEST] B.Arch. Architecture</v>
      </c>
      <c r="E41" s="13" t="str">
        <v>I</v>
      </c>
      <c r="F41" s="13" t="str">
        <v>T501</v>
      </c>
      <c r="G41" s="13" t="str">
        <v>Integrated Foundation</v>
      </c>
      <c r="H41" s="13" t="str">
        <v>2026-27</v>
      </c>
      <c r="I41" s="13" t="str">
        <v>Oct 2026 TEST</v>
      </c>
      <c r="J41" s="13" t="str">
        <v>ESE</v>
      </c>
      <c r="K41" s="13" t="n">
        <v>24</v>
      </c>
      <c r="L41" s="13" t="n">
        <v>24</v>
      </c>
      <c r="M41" s="13" t="n">
        <v>24</v>
      </c>
      <c r="N41" s="9" t="n">
        <f>IF(INDEX('Course_Config'!$H$2:$H$7,R41)=0,0,IF(J41="ESE",INDEX('Course_Config'!$T$2:$T$7,R41),IF(J41="CA1",INDEX('Course_Config'!$K$2:$K$7,R41),IF(J41="CA2",INDEX('Course_Config'!$L$2:$L$7,R41),INDEX('Course_Config'!$M$2:$M$7,R41)))))</f>
        <v>30</v>
      </c>
      <c r="O41" s="9" t="n">
        <f>IF(INDEX('Course_Config'!$I$2:$I$7,R41)=0,0,IF(J41="ESE",INDEX('Course_Config'!$U$2:$U$7,R41),IF(J41="CA1",INDEX('Course_Config'!$N$2:$N$7,R41),IF(J41="CA2",INDEX('Course_Config'!$O$2:$O$7,R41),INDEX('Course_Config'!$P$2:$P$7,R41)))))</f>
        <v>30</v>
      </c>
      <c r="P41" s="9" t="n">
        <f>IF(INDEX('Course_Config'!$J$2:$J$7,R41)=0,0,IF(J41="ESE",INDEX('Course_Config'!$V$2:$V$7,R41),IF(J41="CA1",INDEX('Course_Config'!$Q$2:$Q$7,R41),IF(J41="CA2",INDEX('Course_Config'!$R$2:$R$7,R41),INDEX('Course_Config'!$S$2:$S$7,R41)))))</f>
        <v>30</v>
      </c>
      <c r="Q41" s="9" t="str">
        <f>IF(AND(IF(N41=0,OR(K41="",K41=0),OR(K41="",K41="AB",AND(ISNUMBER(K41),K41&gt;=0,K41&lt;=N41))),IF(O41=0,OR(L41="",L41=0),OR(L41="",L41="AB",AND(ISNUMBER(L41),L41&gt;=0,L41&lt;=O41))),IF(P41=0,OR(M41="",M41=0),OR(M41="",M41="AB",AND(ISNUMBER(M41),M41&gt;=0,M41&lt;=P41)))),"OK","INVALID")</f>
        <v>OK</v>
      </c>
      <c r="R41" s="9" t="n">
        <f>SUMIFS('Course_Config'!$AK$2:$AK$7,'Course_Config'!$AA$2:$AA$7,D41&amp;"|"&amp;F41&amp;"|"&amp;E41)</f>
        <v>4</v>
      </c>
      <c r="S41" s="9" t="str">
        <f>IF(COUNTIFS('Results'!$A$2:$A$13,B41,'Results'!$C$2:$C$13,F41,'Results'!$AP$2:$AP$13,D41,'Results'!$AK$2:$AK$13,E41,'Results'!$AI$2:$AI$13,H41,'Results'!$AJ$2:$AJ$13,I41,'Results'!$J$2:$J$13,"TG")=1,"TG","BLOCKED")</f>
        <v>TG</v>
      </c>
      <c r="T41" s="9" t="n">
        <f>INDEX('Course_Config'!$AH$2:$AH$7,R41)</f>
        <v>0</v>
      </c>
    </row>
    <row r="42">
      <c r="A42" s="9" t="n">
        <v>41</v>
      </c>
      <c r="B42" s="13" t="str">
        <v>TEST5001</v>
      </c>
      <c r="C42" s="13" t="str">
        <v>Test Student 5-01 (PASS)</v>
      </c>
      <c r="D42" s="13" t="str">
        <v>[TEST] B.Arch. Architecture</v>
      </c>
      <c r="E42" s="13" t="str">
        <v>I</v>
      </c>
      <c r="F42" s="13" t="str">
        <v>T502</v>
      </c>
      <c r="G42" s="13" t="str">
        <v>Applied Studio &amp; Skills</v>
      </c>
      <c r="H42" s="13" t="str">
        <v>2026-27</v>
      </c>
      <c r="I42" s="13" t="str">
        <v>Oct 2026 TEST</v>
      </c>
      <c r="J42" s="13" t="str">
        <v>CA1</v>
      </c>
      <c r="K42" s="13"/>
      <c r="L42" s="13" t="n">
        <v>8</v>
      </c>
      <c r="M42" s="13" t="n">
        <v>8</v>
      </c>
      <c r="N42" s="9" t="n">
        <f>IF(INDEX('Course_Config'!$H$2:$H$7,R42)=0,0,IF(J42="ESE",INDEX('Course_Config'!$T$2:$T$7,R42),IF(J42="CA1",INDEX('Course_Config'!$K$2:$K$7,R42),IF(J42="CA2",INDEX('Course_Config'!$L$2:$L$7,R42),INDEX('Course_Config'!$M$2:$M$7,R42)))))</f>
        <v>0</v>
      </c>
      <c r="O42" s="9" t="n">
        <f>IF(INDEX('Course_Config'!$I$2:$I$7,R42)=0,0,IF(J42="ESE",INDEX('Course_Config'!$U$2:$U$7,R42),IF(J42="CA1",INDEX('Course_Config'!$N$2:$N$7,R42),IF(J42="CA2",INDEX('Course_Config'!$O$2:$O$7,R42),INDEX('Course_Config'!$P$2:$P$7,R42)))))</f>
        <v>10</v>
      </c>
      <c r="P42" s="9" t="n">
        <f>IF(INDEX('Course_Config'!$J$2:$J$7,R42)=0,0,IF(J42="ESE",INDEX('Course_Config'!$V$2:$V$7,R42),IF(J42="CA1",INDEX('Course_Config'!$Q$2:$Q$7,R42),IF(J42="CA2",INDEX('Course_Config'!$R$2:$R$7,R42),INDEX('Course_Config'!$S$2:$S$7,R42)))))</f>
        <v>10</v>
      </c>
      <c r="Q42" s="9" t="str">
        <f>IF(AND(IF(N42=0,OR(K42="",K42=0),OR(K42="",K42="AB",AND(ISNUMBER(K42),K42&gt;=0,K42&lt;=N42))),IF(O42=0,OR(L42="",L42=0),OR(L42="",L42="AB",AND(ISNUMBER(L42),L42&gt;=0,L42&lt;=O42))),IF(P42=0,OR(M42="",M42=0),OR(M42="",M42="AB",AND(ISNUMBER(M42),M42&gt;=0,M42&lt;=P42)))),"OK","INVALID")</f>
        <v>OK</v>
      </c>
      <c r="R42" s="9" t="n">
        <f>SUMIFS('Course_Config'!$AK$2:$AK$7,'Course_Config'!$AA$2:$AA$7,D42&amp;"|"&amp;F42&amp;"|"&amp;E42)</f>
        <v>5</v>
      </c>
      <c r="S42" s="9" t="str">
        <f>IF(COUNTIFS('Results'!$A$2:$A$13,B42,'Results'!$C$2:$C$13,F42,'Results'!$AP$2:$AP$13,D42,'Results'!$AK$2:$AK$13,E42,'Results'!$AI$2:$AI$13,H42,'Results'!$AJ$2:$AJ$13,I42,'Results'!$J$2:$J$13,"TG")=1,"TG","BLOCKED")</f>
        <v>TG</v>
      </c>
      <c r="T42" s="9" t="n">
        <f>INDEX('Course_Config'!$AH$2:$AH$7,R42)</f>
        <v>0</v>
      </c>
    </row>
    <row r="43">
      <c r="A43" s="9" t="n">
        <v>42</v>
      </c>
      <c r="B43" s="13" t="str">
        <v>TEST5001</v>
      </c>
      <c r="C43" s="13" t="str">
        <v>Test Student 5-01 (PASS)</v>
      </c>
      <c r="D43" s="13" t="str">
        <v>[TEST] B.Arch. Architecture</v>
      </c>
      <c r="E43" s="13" t="str">
        <v>I</v>
      </c>
      <c r="F43" s="13" t="str">
        <v>T502</v>
      </c>
      <c r="G43" s="13" t="str">
        <v>Applied Studio &amp; Skills</v>
      </c>
      <c r="H43" s="13" t="str">
        <v>2026-27</v>
      </c>
      <c r="I43" s="13" t="str">
        <v>Oct 2026 TEST</v>
      </c>
      <c r="J43" s="13" t="str">
        <v>CA2</v>
      </c>
      <c r="K43" s="13"/>
      <c r="L43" s="13" t="n">
        <v>8</v>
      </c>
      <c r="M43" s="13" t="n">
        <v>8</v>
      </c>
      <c r="N43" s="9" t="n">
        <f>IF(INDEX('Course_Config'!$H$2:$H$7,R43)=0,0,IF(J43="ESE",INDEX('Course_Config'!$T$2:$T$7,R43),IF(J43="CA1",INDEX('Course_Config'!$K$2:$K$7,R43),IF(J43="CA2",INDEX('Course_Config'!$L$2:$L$7,R43),INDEX('Course_Config'!$M$2:$M$7,R43)))))</f>
        <v>0</v>
      </c>
      <c r="O43" s="9" t="n">
        <f>IF(INDEX('Course_Config'!$I$2:$I$7,R43)=0,0,IF(J43="ESE",INDEX('Course_Config'!$U$2:$U$7,R43),IF(J43="CA1",INDEX('Course_Config'!$N$2:$N$7,R43),IF(J43="CA2",INDEX('Course_Config'!$O$2:$O$7,R43),INDEX('Course_Config'!$P$2:$P$7,R43)))))</f>
        <v>10</v>
      </c>
      <c r="P43" s="9" t="n">
        <f>IF(INDEX('Course_Config'!$J$2:$J$7,R43)=0,0,IF(J43="ESE",INDEX('Course_Config'!$V$2:$V$7,R43),IF(J43="CA1",INDEX('Course_Config'!$Q$2:$Q$7,R43),IF(J43="CA2",INDEX('Course_Config'!$R$2:$R$7,R43),INDEX('Course_Config'!$S$2:$S$7,R43)))))</f>
        <v>10</v>
      </c>
      <c r="Q43" s="9" t="str">
        <f>IF(AND(IF(N43=0,OR(K43="",K43=0),OR(K43="",K43="AB",AND(ISNUMBER(K43),K43&gt;=0,K43&lt;=N43))),IF(O43=0,OR(L43="",L43=0),OR(L43="",L43="AB",AND(ISNUMBER(L43),L43&gt;=0,L43&lt;=O43))),IF(P43=0,OR(M43="",M43=0),OR(M43="",M43="AB",AND(ISNUMBER(M43),M43&gt;=0,M43&lt;=P43)))),"OK","INVALID")</f>
        <v>OK</v>
      </c>
      <c r="R43" s="9" t="n">
        <f>SUMIFS('Course_Config'!$AK$2:$AK$7,'Course_Config'!$AA$2:$AA$7,D43&amp;"|"&amp;F43&amp;"|"&amp;E43)</f>
        <v>5</v>
      </c>
      <c r="S43" s="9" t="str">
        <f>IF(COUNTIFS('Results'!$A$2:$A$13,B43,'Results'!$C$2:$C$13,F43,'Results'!$AP$2:$AP$13,D43,'Results'!$AK$2:$AK$13,E43,'Results'!$AI$2:$AI$13,H43,'Results'!$AJ$2:$AJ$13,I43,'Results'!$J$2:$J$13,"TG")=1,"TG","BLOCKED")</f>
        <v>TG</v>
      </c>
      <c r="T43" s="9" t="n">
        <f>INDEX('Course_Config'!$AH$2:$AH$7,R43)</f>
        <v>0</v>
      </c>
    </row>
    <row r="44">
      <c r="A44" s="9" t="n">
        <v>43</v>
      </c>
      <c r="B44" s="13" t="str">
        <v>TEST5001</v>
      </c>
      <c r="C44" s="13" t="str">
        <v>Test Student 5-01 (PASS)</v>
      </c>
      <c r="D44" s="13" t="str">
        <v>[TEST] B.Arch. Architecture</v>
      </c>
      <c r="E44" s="13" t="str">
        <v>I</v>
      </c>
      <c r="F44" s="13" t="str">
        <v>T502</v>
      </c>
      <c r="G44" s="13" t="str">
        <v>Applied Studio &amp; Skills</v>
      </c>
      <c r="H44" s="13" t="str">
        <v>2026-27</v>
      </c>
      <c r="I44" s="13" t="str">
        <v>Oct 2026 TEST</v>
      </c>
      <c r="J44" s="13" t="str">
        <v>CA3</v>
      </c>
      <c r="K44" s="13"/>
      <c r="L44" s="13" t="n">
        <v>8</v>
      </c>
      <c r="M44" s="13" t="n">
        <v>8</v>
      </c>
      <c r="N44" s="9" t="n">
        <f>IF(INDEX('Course_Config'!$H$2:$H$7,R44)=0,0,IF(J44="ESE",INDEX('Course_Config'!$T$2:$T$7,R44),IF(J44="CA1",INDEX('Course_Config'!$K$2:$K$7,R44),IF(J44="CA2",INDEX('Course_Config'!$L$2:$L$7,R44),INDEX('Course_Config'!$M$2:$M$7,R44)))))</f>
        <v>0</v>
      </c>
      <c r="O44" s="9" t="n">
        <f>IF(INDEX('Course_Config'!$I$2:$I$7,R44)=0,0,IF(J44="ESE",INDEX('Course_Config'!$U$2:$U$7,R44),IF(J44="CA1",INDEX('Course_Config'!$N$2:$N$7,R44),IF(J44="CA2",INDEX('Course_Config'!$O$2:$O$7,R44),INDEX('Course_Config'!$P$2:$P$7,R44)))))</f>
        <v>10</v>
      </c>
      <c r="P44" s="9" t="n">
        <f>IF(INDEX('Course_Config'!$J$2:$J$7,R44)=0,0,IF(J44="ESE",INDEX('Course_Config'!$V$2:$V$7,R44),IF(J44="CA1",INDEX('Course_Config'!$Q$2:$Q$7,R44),IF(J44="CA2",INDEX('Course_Config'!$R$2:$R$7,R44),INDEX('Course_Config'!$S$2:$S$7,R44)))))</f>
        <v>10</v>
      </c>
      <c r="Q44" s="9" t="str">
        <f>IF(AND(IF(N44=0,OR(K44="",K44=0),OR(K44="",K44="AB",AND(ISNUMBER(K44),K44&gt;=0,K44&lt;=N44))),IF(O44=0,OR(L44="",L44=0),OR(L44="",L44="AB",AND(ISNUMBER(L44),L44&gt;=0,L44&lt;=O44))),IF(P44=0,OR(M44="",M44=0),OR(M44="",M44="AB",AND(ISNUMBER(M44),M44&gt;=0,M44&lt;=P44)))),"OK","INVALID")</f>
        <v>OK</v>
      </c>
      <c r="R44" s="9" t="n">
        <f>SUMIFS('Course_Config'!$AK$2:$AK$7,'Course_Config'!$AA$2:$AA$7,D44&amp;"|"&amp;F44&amp;"|"&amp;E44)</f>
        <v>5</v>
      </c>
      <c r="S44" s="9" t="str">
        <f>IF(COUNTIFS('Results'!$A$2:$A$13,B44,'Results'!$C$2:$C$13,F44,'Results'!$AP$2:$AP$13,D44,'Results'!$AK$2:$AK$13,E44,'Results'!$AI$2:$AI$13,H44,'Results'!$AJ$2:$AJ$13,I44,'Results'!$J$2:$J$13,"TG")=1,"TG","BLOCKED")</f>
        <v>TG</v>
      </c>
      <c r="T44" s="9" t="n">
        <f>INDEX('Course_Config'!$AH$2:$AH$7,R44)</f>
        <v>0</v>
      </c>
    </row>
    <row r="45">
      <c r="A45" s="9" t="n">
        <v>44</v>
      </c>
      <c r="B45" s="13" t="str">
        <v>TEST5001</v>
      </c>
      <c r="C45" s="13" t="str">
        <v>Test Student 5-01 (PASS)</v>
      </c>
      <c r="D45" s="13" t="str">
        <v>[TEST] B.Arch. Architecture</v>
      </c>
      <c r="E45" s="13" t="str">
        <v>I</v>
      </c>
      <c r="F45" s="13" t="str">
        <v>T502</v>
      </c>
      <c r="G45" s="13" t="str">
        <v>Applied Studio &amp; Skills</v>
      </c>
      <c r="H45" s="13" t="str">
        <v>2026-27</v>
      </c>
      <c r="I45" s="13" t="str">
        <v>Oct 2026 TEST</v>
      </c>
      <c r="J45" s="13" t="str">
        <v>ESE</v>
      </c>
      <c r="K45" s="13"/>
      <c r="L45" s="13" t="n">
        <v>24</v>
      </c>
      <c r="M45" s="13" t="n">
        <v>24</v>
      </c>
      <c r="N45" s="9" t="n">
        <f>IF(INDEX('Course_Config'!$H$2:$H$7,R45)=0,0,IF(J45="ESE",INDEX('Course_Config'!$T$2:$T$7,R45),IF(J45="CA1",INDEX('Course_Config'!$K$2:$K$7,R45),IF(J45="CA2",INDEX('Course_Config'!$L$2:$L$7,R45),INDEX('Course_Config'!$M$2:$M$7,R45)))))</f>
        <v>0</v>
      </c>
      <c r="O45" s="9" t="n">
        <f>IF(INDEX('Course_Config'!$I$2:$I$7,R45)=0,0,IF(J45="ESE",INDEX('Course_Config'!$U$2:$U$7,R45),IF(J45="CA1",INDEX('Course_Config'!$N$2:$N$7,R45),IF(J45="CA2",INDEX('Course_Config'!$O$2:$O$7,R45),INDEX('Course_Config'!$P$2:$P$7,R45)))))</f>
        <v>30</v>
      </c>
      <c r="P45" s="9" t="n">
        <f>IF(INDEX('Course_Config'!$J$2:$J$7,R45)=0,0,IF(J45="ESE",INDEX('Course_Config'!$V$2:$V$7,R45),IF(J45="CA1",INDEX('Course_Config'!$Q$2:$Q$7,R45),IF(J45="CA2",INDEX('Course_Config'!$R$2:$R$7,R45),INDEX('Course_Config'!$S$2:$S$7,R45)))))</f>
        <v>30</v>
      </c>
      <c r="Q45" s="9" t="str">
        <f>IF(AND(IF(N45=0,OR(K45="",K45=0),OR(K45="",K45="AB",AND(ISNUMBER(K45),K45&gt;=0,K45&lt;=N45))),IF(O45=0,OR(L45="",L45=0),OR(L45="",L45="AB",AND(ISNUMBER(L45),L45&gt;=0,L45&lt;=O45))),IF(P45=0,OR(M45="",M45=0),OR(M45="",M45="AB",AND(ISNUMBER(M45),M45&gt;=0,M45&lt;=P45)))),"OK","INVALID")</f>
        <v>OK</v>
      </c>
      <c r="R45" s="9" t="n">
        <f>SUMIFS('Course_Config'!$AK$2:$AK$7,'Course_Config'!$AA$2:$AA$7,D45&amp;"|"&amp;F45&amp;"|"&amp;E45)</f>
        <v>5</v>
      </c>
      <c r="S45" s="9" t="str">
        <f>IF(COUNTIFS('Results'!$A$2:$A$13,B45,'Results'!$C$2:$C$13,F45,'Results'!$AP$2:$AP$13,D45,'Results'!$AK$2:$AK$13,E45,'Results'!$AI$2:$AI$13,H45,'Results'!$AJ$2:$AJ$13,I45,'Results'!$J$2:$J$13,"TG")=1,"TG","BLOCKED")</f>
        <v>TG</v>
      </c>
      <c r="T45" s="9" t="n">
        <f>INDEX('Course_Config'!$AH$2:$AH$7,R45)</f>
        <v>0</v>
      </c>
    </row>
    <row r="46">
      <c r="A46" s="9" t="n">
        <v>45</v>
      </c>
      <c r="B46" s="13" t="str">
        <v>TEST5001</v>
      </c>
      <c r="C46" s="13" t="str">
        <v>Test Student 5-01 (PASS)</v>
      </c>
      <c r="D46" s="13" t="str">
        <v>[TEST] B.Arch. Architecture</v>
      </c>
      <c r="E46" s="13" t="str">
        <v>I</v>
      </c>
      <c r="F46" s="13" t="str">
        <v>T503</v>
      </c>
      <c r="G46" s="13" t="str">
        <v>Core Theory</v>
      </c>
      <c r="H46" s="13" t="str">
        <v>2026-27</v>
      </c>
      <c r="I46" s="13" t="str">
        <v>Oct 2026 TEST</v>
      </c>
      <c r="J46" s="13" t="str">
        <v>CA1</v>
      </c>
      <c r="K46" s="13" t="n">
        <v>8</v>
      </c>
      <c r="L46" s="13"/>
      <c r="M46" s="13"/>
      <c r="N46" s="9" t="n">
        <f>IF(INDEX('Course_Config'!$H$2:$H$7,R46)=0,0,IF(J46="ESE",INDEX('Course_Config'!$T$2:$T$7,R46),IF(J46="CA1",INDEX('Course_Config'!$K$2:$K$7,R46),IF(J46="CA2",INDEX('Course_Config'!$L$2:$L$7,R46),INDEX('Course_Config'!$M$2:$M$7,R46)))))</f>
        <v>10</v>
      </c>
      <c r="O46" s="9" t="n">
        <f>IF(INDEX('Course_Config'!$I$2:$I$7,R46)=0,0,IF(J46="ESE",INDEX('Course_Config'!$U$2:$U$7,R46),IF(J46="CA1",INDEX('Course_Config'!$N$2:$N$7,R46),IF(J46="CA2",INDEX('Course_Config'!$O$2:$O$7,R46),INDEX('Course_Config'!$P$2:$P$7,R46)))))</f>
        <v>0</v>
      </c>
      <c r="P46" s="9" t="n">
        <f>IF(INDEX('Course_Config'!$J$2:$J$7,R46)=0,0,IF(J46="ESE",INDEX('Course_Config'!$V$2:$V$7,R46),IF(J46="CA1",INDEX('Course_Config'!$Q$2:$Q$7,R46),IF(J46="CA2",INDEX('Course_Config'!$R$2:$R$7,R46),INDEX('Course_Config'!$S$2:$S$7,R46)))))</f>
        <v>0</v>
      </c>
      <c r="Q46" s="9" t="str">
        <f>IF(AND(IF(N46=0,OR(K46="",K46=0),OR(K46="",K46="AB",AND(ISNUMBER(K46),K46&gt;=0,K46&lt;=N46))),IF(O46=0,OR(L46="",L46=0),OR(L46="",L46="AB",AND(ISNUMBER(L46),L46&gt;=0,L46&lt;=O46))),IF(P46=0,OR(M46="",M46=0),OR(M46="",M46="AB",AND(ISNUMBER(M46),M46&gt;=0,M46&lt;=P46)))),"OK","INVALID")</f>
        <v>OK</v>
      </c>
      <c r="R46" s="9" t="n">
        <f>SUMIFS('Course_Config'!$AK$2:$AK$7,'Course_Config'!$AA$2:$AA$7,D46&amp;"|"&amp;F46&amp;"|"&amp;E46)</f>
        <v>6</v>
      </c>
      <c r="S46" s="9" t="str">
        <f>IF(COUNTIFS('Results'!$A$2:$A$13,B46,'Results'!$C$2:$C$13,F46,'Results'!$AP$2:$AP$13,D46,'Results'!$AK$2:$AK$13,E46,'Results'!$AI$2:$AI$13,H46,'Results'!$AJ$2:$AJ$13,I46,'Results'!$J$2:$J$13,"TG")=1,"TG","BLOCKED")</f>
        <v>TG</v>
      </c>
      <c r="T46" s="9" t="n">
        <f>INDEX('Course_Config'!$AH$2:$AH$7,R46)</f>
        <v>0</v>
      </c>
    </row>
    <row r="47">
      <c r="A47" s="9" t="n">
        <v>46</v>
      </c>
      <c r="B47" s="13" t="str">
        <v>TEST5001</v>
      </c>
      <c r="C47" s="13" t="str">
        <v>Test Student 5-01 (PASS)</v>
      </c>
      <c r="D47" s="13" t="str">
        <v>[TEST] B.Arch. Architecture</v>
      </c>
      <c r="E47" s="13" t="str">
        <v>I</v>
      </c>
      <c r="F47" s="13" t="str">
        <v>T503</v>
      </c>
      <c r="G47" s="13" t="str">
        <v>Core Theory</v>
      </c>
      <c r="H47" s="13" t="str">
        <v>2026-27</v>
      </c>
      <c r="I47" s="13" t="str">
        <v>Oct 2026 TEST</v>
      </c>
      <c r="J47" s="13" t="str">
        <v>CA2</v>
      </c>
      <c r="K47" s="13" t="n">
        <v>8</v>
      </c>
      <c r="L47" s="13"/>
      <c r="M47" s="13"/>
      <c r="N47" s="9" t="n">
        <f>IF(INDEX('Course_Config'!$H$2:$H$7,R47)=0,0,IF(J47="ESE",INDEX('Course_Config'!$T$2:$T$7,R47),IF(J47="CA1",INDEX('Course_Config'!$K$2:$K$7,R47),IF(J47="CA2",INDEX('Course_Config'!$L$2:$L$7,R47),INDEX('Course_Config'!$M$2:$M$7,R47)))))</f>
        <v>10</v>
      </c>
      <c r="O47" s="9" t="n">
        <f>IF(INDEX('Course_Config'!$I$2:$I$7,R47)=0,0,IF(J47="ESE",INDEX('Course_Config'!$U$2:$U$7,R47),IF(J47="CA1",INDEX('Course_Config'!$N$2:$N$7,R47),IF(J47="CA2",INDEX('Course_Config'!$O$2:$O$7,R47),INDEX('Course_Config'!$P$2:$P$7,R47)))))</f>
        <v>0</v>
      </c>
      <c r="P47" s="9" t="n">
        <f>IF(INDEX('Course_Config'!$J$2:$J$7,R47)=0,0,IF(J47="ESE",INDEX('Course_Config'!$V$2:$V$7,R47),IF(J47="CA1",INDEX('Course_Config'!$Q$2:$Q$7,R47),IF(J47="CA2",INDEX('Course_Config'!$R$2:$R$7,R47),INDEX('Course_Config'!$S$2:$S$7,R47)))))</f>
        <v>0</v>
      </c>
      <c r="Q47" s="9" t="str">
        <f>IF(AND(IF(N47=0,OR(K47="",K47=0),OR(K47="",K47="AB",AND(ISNUMBER(K47),K47&gt;=0,K47&lt;=N47))),IF(O47=0,OR(L47="",L47=0),OR(L47="",L47="AB",AND(ISNUMBER(L47),L47&gt;=0,L47&lt;=O47))),IF(P47=0,OR(M47="",M47=0),OR(M47="",M47="AB",AND(ISNUMBER(M47),M47&gt;=0,M47&lt;=P47)))),"OK","INVALID")</f>
        <v>OK</v>
      </c>
      <c r="R47" s="9" t="n">
        <f>SUMIFS('Course_Config'!$AK$2:$AK$7,'Course_Config'!$AA$2:$AA$7,D47&amp;"|"&amp;F47&amp;"|"&amp;E47)</f>
        <v>6</v>
      </c>
      <c r="S47" s="9" t="str">
        <f>IF(COUNTIFS('Results'!$A$2:$A$13,B47,'Results'!$C$2:$C$13,F47,'Results'!$AP$2:$AP$13,D47,'Results'!$AK$2:$AK$13,E47,'Results'!$AI$2:$AI$13,H47,'Results'!$AJ$2:$AJ$13,I47,'Results'!$J$2:$J$13,"TG")=1,"TG","BLOCKED")</f>
        <v>TG</v>
      </c>
      <c r="T47" s="9" t="n">
        <f>INDEX('Course_Config'!$AH$2:$AH$7,R47)</f>
        <v>0</v>
      </c>
    </row>
    <row r="48">
      <c r="A48" s="9" t="n">
        <v>47</v>
      </c>
      <c r="B48" s="13" t="str">
        <v>TEST5001</v>
      </c>
      <c r="C48" s="13" t="str">
        <v>Test Student 5-01 (PASS)</v>
      </c>
      <c r="D48" s="13" t="str">
        <v>[TEST] B.Arch. Architecture</v>
      </c>
      <c r="E48" s="13" t="str">
        <v>I</v>
      </c>
      <c r="F48" s="13" t="str">
        <v>T503</v>
      </c>
      <c r="G48" s="13" t="str">
        <v>Core Theory</v>
      </c>
      <c r="H48" s="13" t="str">
        <v>2026-27</v>
      </c>
      <c r="I48" s="13" t="str">
        <v>Oct 2026 TEST</v>
      </c>
      <c r="J48" s="13" t="str">
        <v>CA3</v>
      </c>
      <c r="K48" s="13" t="n">
        <v>8</v>
      </c>
      <c r="L48" s="13"/>
      <c r="M48" s="13"/>
      <c r="N48" s="9" t="n">
        <f>IF(INDEX('Course_Config'!$H$2:$H$7,R48)=0,0,IF(J48="ESE",INDEX('Course_Config'!$T$2:$T$7,R48),IF(J48="CA1",INDEX('Course_Config'!$K$2:$K$7,R48),IF(J48="CA2",INDEX('Course_Config'!$L$2:$L$7,R48),INDEX('Course_Config'!$M$2:$M$7,R48)))))</f>
        <v>10</v>
      </c>
      <c r="O48" s="9" t="n">
        <f>IF(INDEX('Course_Config'!$I$2:$I$7,R48)=0,0,IF(J48="ESE",INDEX('Course_Config'!$U$2:$U$7,R48),IF(J48="CA1",INDEX('Course_Config'!$N$2:$N$7,R48),IF(J48="CA2",INDEX('Course_Config'!$O$2:$O$7,R48),INDEX('Course_Config'!$P$2:$P$7,R48)))))</f>
        <v>0</v>
      </c>
      <c r="P48" s="9" t="n">
        <f>IF(INDEX('Course_Config'!$J$2:$J$7,R48)=0,0,IF(J48="ESE",INDEX('Course_Config'!$V$2:$V$7,R48),IF(J48="CA1",INDEX('Course_Config'!$Q$2:$Q$7,R48),IF(J48="CA2",INDEX('Course_Config'!$R$2:$R$7,R48),INDEX('Course_Config'!$S$2:$S$7,R48)))))</f>
        <v>0</v>
      </c>
      <c r="Q48" s="9" t="str">
        <f>IF(AND(IF(N48=0,OR(K48="",K48=0),OR(K48="",K48="AB",AND(ISNUMBER(K48),K48&gt;=0,K48&lt;=N48))),IF(O48=0,OR(L48="",L48=0),OR(L48="",L48="AB",AND(ISNUMBER(L48),L48&gt;=0,L48&lt;=O48))),IF(P48=0,OR(M48="",M48=0),OR(M48="",M48="AB",AND(ISNUMBER(M48),M48&gt;=0,M48&lt;=P48)))),"OK","INVALID")</f>
        <v>OK</v>
      </c>
      <c r="R48" s="9" t="n">
        <f>SUMIFS('Course_Config'!$AK$2:$AK$7,'Course_Config'!$AA$2:$AA$7,D48&amp;"|"&amp;F48&amp;"|"&amp;E48)</f>
        <v>6</v>
      </c>
      <c r="S48" s="9" t="str">
        <f>IF(COUNTIFS('Results'!$A$2:$A$13,B48,'Results'!$C$2:$C$13,F48,'Results'!$AP$2:$AP$13,D48,'Results'!$AK$2:$AK$13,E48,'Results'!$AI$2:$AI$13,H48,'Results'!$AJ$2:$AJ$13,I48,'Results'!$J$2:$J$13,"TG")=1,"TG","BLOCKED")</f>
        <v>TG</v>
      </c>
      <c r="T48" s="9" t="n">
        <f>INDEX('Course_Config'!$AH$2:$AH$7,R48)</f>
        <v>0</v>
      </c>
    </row>
    <row r="49">
      <c r="A49" s="9" t="n">
        <v>48</v>
      </c>
      <c r="B49" s="13" t="str">
        <v>TEST5001</v>
      </c>
      <c r="C49" s="13" t="str">
        <v>Test Student 5-01 (PASS)</v>
      </c>
      <c r="D49" s="13" t="str">
        <v>[TEST] B.Arch. Architecture</v>
      </c>
      <c r="E49" s="13" t="str">
        <v>I</v>
      </c>
      <c r="F49" s="13" t="str">
        <v>T503</v>
      </c>
      <c r="G49" s="13" t="str">
        <v>Core Theory</v>
      </c>
      <c r="H49" s="13" t="str">
        <v>2026-27</v>
      </c>
      <c r="I49" s="13" t="str">
        <v>Oct 2026 TEST</v>
      </c>
      <c r="J49" s="13" t="str">
        <v>ESE</v>
      </c>
      <c r="K49" s="13" t="n">
        <v>24</v>
      </c>
      <c r="L49" s="13"/>
      <c r="M49" s="13"/>
      <c r="N49" s="9" t="n">
        <f>IF(INDEX('Course_Config'!$H$2:$H$7,R49)=0,0,IF(J49="ESE",INDEX('Course_Config'!$T$2:$T$7,R49),IF(J49="CA1",INDEX('Course_Config'!$K$2:$K$7,R49),IF(J49="CA2",INDEX('Course_Config'!$L$2:$L$7,R49),INDEX('Course_Config'!$M$2:$M$7,R49)))))</f>
        <v>30</v>
      </c>
      <c r="O49" s="9" t="n">
        <f>IF(INDEX('Course_Config'!$I$2:$I$7,R49)=0,0,IF(J49="ESE",INDEX('Course_Config'!$U$2:$U$7,R49),IF(J49="CA1",INDEX('Course_Config'!$N$2:$N$7,R49),IF(J49="CA2",INDEX('Course_Config'!$O$2:$O$7,R49),INDEX('Course_Config'!$P$2:$P$7,R49)))))</f>
        <v>0</v>
      </c>
      <c r="P49" s="9" t="n">
        <f>IF(INDEX('Course_Config'!$J$2:$J$7,R49)=0,0,IF(J49="ESE",INDEX('Course_Config'!$V$2:$V$7,R49),IF(J49="CA1",INDEX('Course_Config'!$Q$2:$Q$7,R49),IF(J49="CA2",INDEX('Course_Config'!$R$2:$R$7,R49),INDEX('Course_Config'!$S$2:$S$7,R49)))))</f>
        <v>0</v>
      </c>
      <c r="Q49" s="9" t="str">
        <f>IF(AND(IF(N49=0,OR(K49="",K49=0),OR(K49="",K49="AB",AND(ISNUMBER(K49),K49&gt;=0,K49&lt;=N49))),IF(O49=0,OR(L49="",L49=0),OR(L49="",L49="AB",AND(ISNUMBER(L49),L49&gt;=0,L49&lt;=O49))),IF(P49=0,OR(M49="",M49=0),OR(M49="",M49="AB",AND(ISNUMBER(M49),M49&gt;=0,M49&lt;=P49)))),"OK","INVALID")</f>
        <v>OK</v>
      </c>
      <c r="R49" s="9" t="n">
        <f>SUMIFS('Course_Config'!$AK$2:$AK$7,'Course_Config'!$AA$2:$AA$7,D49&amp;"|"&amp;F49&amp;"|"&amp;E49)</f>
        <v>6</v>
      </c>
      <c r="S49" s="9" t="str">
        <f>IF(COUNTIFS('Results'!$A$2:$A$13,B49,'Results'!$C$2:$C$13,F49,'Results'!$AP$2:$AP$13,D49,'Results'!$AK$2:$AK$13,E49,'Results'!$AI$2:$AI$13,H49,'Results'!$AJ$2:$AJ$13,I49,'Results'!$J$2:$J$13,"TG")=1,"TG","BLOCKED")</f>
        <v>TG</v>
      </c>
      <c r="T49" s="9" t="n">
        <f>INDEX('Course_Config'!$AH$2:$AH$7,R49)</f>
        <v>0</v>
      </c>
    </row>
  </sheetData>
  <sheetProtection sheet="1" objects="1" scenarios="1" selectLockedCells="0" selectUnlockedCells="0" autoFilter="0" sort="0"/>
  <dataValidations count="4">
    <dataValidation type="custom" sqref="K2:K49" allowBlank="1" showErrorMessage="1" errorStyle="stop" errorTitle="Invalid marks or ESE eligibility" error="Use blank, AB or marks within the configured maximum. ESE entry requires TG.">
      <formula1>AND(OR(K2="",AND(N2&gt;0,K2="AB"),AND(ISNUMBER(K2),K2&gt;=0,K2&lt;=N2,OR($T2=0,MOD(K2,1)=0))),OR($J2&lt;&gt;"ESE",K2="",$S2="TG"))</formula1>
    </dataValidation>
    <dataValidation type="custom" sqref="L2:L49" allowBlank="1" showErrorMessage="1" errorStyle="stop" errorTitle="Invalid marks or ESE eligibility" error="Use blank, AB or marks within the configured maximum. ESE entry requires TG.">
      <formula1>AND(OR(L2="",AND(O2&gt;0,L2="AB"),AND(ISNUMBER(L2),L2&gt;=0,L2&lt;=O2,OR($T2=0,MOD(L2,1)=0))),OR($J2&lt;&gt;"ESE",L2="",$S2="TG"))</formula1>
    </dataValidation>
    <dataValidation type="custom" sqref="M2:M49" allowBlank="1" showErrorMessage="1" errorStyle="stop" errorTitle="Invalid marks or ESE eligibility" error="Use blank, AB or marks within the configured maximum. ESE entry requires TG.">
      <formula1>AND(OR(M2="",AND(P2&gt;0,M2="AB"),AND(ISNUMBER(M2),M2&gt;=0,M2&lt;=P2,OR($T2=0,MOD(M2,1)=0))),OR($J2&lt;&gt;"ESE",M2="",$S2="TG"))</formula1>
    </dataValidation>
    <dataValidation type="list" sqref="J2:J49" showErrorMessage="1" errorStyle="stop">
      <formula1>"CA1,CA2,CA3,ESE"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18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18" hidden="0" customWidth="1"/>
    <col min="21" max="21" width="18" hidden="0" customWidth="1"/>
    <col min="22" max="22" width="18" hidden="0" customWidth="1"/>
    <col min="23" max="23" width="18" hidden="0" customWidth="1"/>
    <col min="24" max="24" width="18" hidden="0" customWidth="1"/>
    <col min="25" max="25" width="18" hidden="0" customWidth="1"/>
    <col min="26" max="26" width="18" hidden="0" customWidth="1"/>
    <col min="27" max="27" width="18" hidden="0" customWidth="1"/>
    <col min="28" max="28" width="18" hidden="0" customWidth="1"/>
    <col min="29" max="29" width="18" hidden="0" customWidth="1"/>
    <col min="30" max="30" width="18" hidden="0" customWidth="1"/>
    <col min="31" max="31" width="18" hidden="0" customWidth="1"/>
    <col min="32" max="32" width="18" hidden="0" customWidth="1"/>
    <col min="33" max="33" width="18" hidden="0" customWidth="1"/>
    <col min="34" max="34" width="18" hidden="0" customWidth="1"/>
    <col min="35" max="35" width="18" hidden="0" customWidth="1"/>
    <col min="36" max="36" width="18" hidden="0" customWidth="1"/>
    <col min="37" max="37" width="18" hidden="0" customWidth="1"/>
  </cols>
  <sheetData>
    <row r="1" ht="36" customHeight="1">
      <c r="A1" s="8" t="str">
        <v>PaperCode</v>
      </c>
      <c r="B1" s="8" t="str">
        <v>Programme_Code</v>
      </c>
      <c r="C1" s="8" t="str">
        <v>Course_Name</v>
      </c>
      <c r="D1" s="8" t="str">
        <v>Semester</v>
      </c>
      <c r="E1" s="8" t="str">
        <v>Programme_Category</v>
      </c>
      <c r="F1" s="8" t="str">
        <v>Course_Credits</v>
      </c>
      <c r="G1" s="8" t="str">
        <v>Assessment_Heads</v>
      </c>
      <c r="H1" s="8" t="str">
        <v>Theory_Applicable</v>
      </c>
      <c r="I1" s="8" t="str">
        <v>Practical_Applicable</v>
      </c>
      <c r="J1" s="8" t="str">
        <v>Skills_Applicable</v>
      </c>
      <c r="K1" s="8" t="str">
        <v>CA1_Max_Theory</v>
      </c>
      <c r="L1" s="8" t="str">
        <v>CA2_Max_Theory</v>
      </c>
      <c r="M1" s="8" t="str">
        <v>CA3_Max_Theory</v>
      </c>
      <c r="N1" s="8" t="str">
        <v>CA1_Max_Practical</v>
      </c>
      <c r="O1" s="8" t="str">
        <v>CA2_Max_Practical</v>
      </c>
      <c r="P1" s="8" t="str">
        <v>CA3_Max_Practical</v>
      </c>
      <c r="Q1" s="8" t="str">
        <v>CA1_Max_Skills</v>
      </c>
      <c r="R1" s="8" t="str">
        <v>CA2_Max_Skills</v>
      </c>
      <c r="S1" s="8" t="str">
        <v>CA3_Max_Skills</v>
      </c>
      <c r="T1" s="8" t="str">
        <v>ESE_Max_Theory</v>
      </c>
      <c r="U1" s="8" t="str">
        <v>ESE_Max_Practical</v>
      </c>
      <c r="V1" s="8" t="str">
        <v>ESE_Max_Skills</v>
      </c>
      <c r="W1" s="8" t="str">
        <v>Min_Attendance_Pct</v>
      </c>
      <c r="X1" s="8" t="str">
        <v>Attendance_Mandatory</v>
      </c>
      <c r="Y1" s="8" t="str">
        <v>CA_Submission_Mandatory</v>
      </c>
      <c r="Z1" s="8" t="str">
        <v>Is_Comprehensive_Exam</v>
      </c>
      <c r="AA1" s="8" t="str">
        <v>Course_Key</v>
      </c>
      <c r="AB1" s="8" t="str">
        <v>Programme_Name</v>
      </c>
      <c r="AC1" s="8" t="str">
        <v>EST_Pass_Pct</v>
      </c>
      <c r="AD1" s="8" t="str">
        <v>ESP_Pass_Pct</v>
      </c>
      <c r="AE1" s="8" t="str">
        <v>ESS_Pass_Pct</v>
      </c>
      <c r="AF1" s="8" t="str">
        <v>CA_Eligibility_Pct</v>
      </c>
      <c r="AG1" s="8" t="str">
        <v>Overall_Pass_Pct</v>
      </c>
      <c r="AH1" s="8" t="str">
        <v>Integer_Marks</v>
      </c>
      <c r="AI1" s="8" t="str">
        <v>Approval_Reference</v>
      </c>
      <c r="AJ1" s="8" t="str">
        <v>Approved</v>
      </c>
      <c r="AK1" s="8" t="str">
        <v>Lookup_Row</v>
      </c>
    </row>
    <row r="2">
      <c r="A2" s="13" t="str">
        <v>T101</v>
      </c>
      <c r="B2" s="13" t="str">
        <v>TEST-1</v>
      </c>
      <c r="C2" s="13" t="str">
        <v>Integrated Foundation</v>
      </c>
      <c r="D2" s="13" t="str">
        <v>I</v>
      </c>
      <c r="E2" s="13" t="str">
        <v>Non-Architecture</v>
      </c>
      <c r="F2" s="13" t="n">
        <v>4</v>
      </c>
      <c r="G2" s="13" t="str">
        <v>theory,practical,skills</v>
      </c>
      <c r="H2" s="13" t="n">
        <v>1</v>
      </c>
      <c r="I2" s="13" t="n">
        <v>1</v>
      </c>
      <c r="J2" s="13" t="n">
        <v>1</v>
      </c>
      <c r="K2" s="13" t="n">
        <v>10</v>
      </c>
      <c r="L2" s="13" t="n">
        <v>10</v>
      </c>
      <c r="M2" s="13" t="n">
        <v>10</v>
      </c>
      <c r="N2" s="13" t="n">
        <v>10</v>
      </c>
      <c r="O2" s="13" t="n">
        <v>10</v>
      </c>
      <c r="P2" s="13" t="n">
        <v>10</v>
      </c>
      <c r="Q2" s="13" t="n">
        <v>10</v>
      </c>
      <c r="R2" s="13" t="n">
        <v>10</v>
      </c>
      <c r="S2" s="13" t="n">
        <v>10</v>
      </c>
      <c r="T2" s="13" t="n">
        <v>30</v>
      </c>
      <c r="U2" s="13" t="n">
        <v>30</v>
      </c>
      <c r="V2" s="13" t="n">
        <v>30</v>
      </c>
      <c r="W2" s="13" t="n">
        <v>0</v>
      </c>
      <c r="X2" s="13" t="str">
        <v>NO</v>
      </c>
      <c r="Y2" s="13" t="str">
        <v>NO</v>
      </c>
      <c r="Z2" s="13" t="n">
        <v>0</v>
      </c>
      <c r="AA2" s="9" t="str">
        <f>AB2&amp;"|"&amp;A2&amp;"|"&amp;D2</f>
        <v>[TEST] B.Tech. Construction Engineering &amp; Management|T101|I</v>
      </c>
      <c r="AB2" s="13" t="str">
        <v>[TEST] B.Tech. Construction Engineering &amp; Management</v>
      </c>
      <c r="AC2" s="13" t="n">
        <v>40</v>
      </c>
      <c r="AD2" s="13" t="n">
        <v>40</v>
      </c>
      <c r="AE2" s="13" t="n">
        <v>40</v>
      </c>
      <c r="AF2" s="13" t="n">
        <v>40</v>
      </c>
      <c r="AG2" s="13" t="n">
        <v>40</v>
      </c>
      <c r="AH2" s="13" t="n">
        <v>0</v>
      </c>
      <c r="AI2" s="13" t="str">
        <v>SYNTHETIC TEST SCHEME ONLY — not an academic approval</v>
      </c>
      <c r="AJ2" s="13" t="n">
        <v>1</v>
      </c>
      <c r="AK2" s="9" t="n">
        <v>1</v>
      </c>
    </row>
    <row r="3">
      <c r="A3" s="13" t="str">
        <v>T102</v>
      </c>
      <c r="B3" s="13" t="str">
        <v>TEST-1</v>
      </c>
      <c r="C3" s="13" t="str">
        <v>Applied Studio &amp; Skills</v>
      </c>
      <c r="D3" s="13" t="str">
        <v>I</v>
      </c>
      <c r="E3" s="13" t="str">
        <v>Non-Architecture</v>
      </c>
      <c r="F3" s="13" t="n">
        <v>3</v>
      </c>
      <c r="G3" s="13" t="str">
        <v>practical,skills</v>
      </c>
      <c r="H3" s="13" t="n">
        <v>0</v>
      </c>
      <c r="I3" s="13" t="n">
        <v>1</v>
      </c>
      <c r="J3" s="13" t="n">
        <v>1</v>
      </c>
      <c r="K3" s="13" t="n">
        <v>0</v>
      </c>
      <c r="L3" s="13" t="n">
        <v>0</v>
      </c>
      <c r="M3" s="13" t="n">
        <v>0</v>
      </c>
      <c r="N3" s="13" t="n">
        <v>10</v>
      </c>
      <c r="O3" s="13" t="n">
        <v>10</v>
      </c>
      <c r="P3" s="13" t="n">
        <v>10</v>
      </c>
      <c r="Q3" s="13" t="n">
        <v>10</v>
      </c>
      <c r="R3" s="13" t="n">
        <v>10</v>
      </c>
      <c r="S3" s="13" t="n">
        <v>10</v>
      </c>
      <c r="T3" s="13" t="n">
        <v>0</v>
      </c>
      <c r="U3" s="13" t="n">
        <v>30</v>
      </c>
      <c r="V3" s="13" t="n">
        <v>30</v>
      </c>
      <c r="W3" s="13" t="n">
        <v>0</v>
      </c>
      <c r="X3" s="13" t="str">
        <v>NO</v>
      </c>
      <c r="Y3" s="13" t="str">
        <v>NO</v>
      </c>
      <c r="Z3" s="13" t="n">
        <v>0</v>
      </c>
      <c r="AA3" s="9" t="str">
        <f>AB3&amp;"|"&amp;A3&amp;"|"&amp;D3</f>
        <v>[TEST] B.Tech. Construction Engineering &amp; Management|T102|I</v>
      </c>
      <c r="AB3" s="13" t="str">
        <v>[TEST] B.Tech. Construction Engineering &amp; Management</v>
      </c>
      <c r="AC3" s="13" t="n">
        <v>40</v>
      </c>
      <c r="AD3" s="13" t="n">
        <v>40</v>
      </c>
      <c r="AE3" s="13" t="n">
        <v>40</v>
      </c>
      <c r="AF3" s="13" t="n">
        <v>40</v>
      </c>
      <c r="AG3" s="13" t="n">
        <v>40</v>
      </c>
      <c r="AH3" s="13" t="n">
        <v>0</v>
      </c>
      <c r="AI3" s="13" t="str">
        <v>SYNTHETIC TEST SCHEME ONLY — not an academic approval</v>
      </c>
      <c r="AJ3" s="13" t="n">
        <v>1</v>
      </c>
      <c r="AK3" s="9" t="n">
        <v>2</v>
      </c>
    </row>
    <row r="4">
      <c r="A4" s="13" t="str">
        <v>T103</v>
      </c>
      <c r="B4" s="13" t="str">
        <v>TEST-1</v>
      </c>
      <c r="C4" s="13" t="str">
        <v>Core Theory</v>
      </c>
      <c r="D4" s="13" t="str">
        <v>I</v>
      </c>
      <c r="E4" s="13" t="str">
        <v>Non-Architecture</v>
      </c>
      <c r="F4" s="13" t="n">
        <v>2</v>
      </c>
      <c r="G4" s="13" t="str">
        <v>theory</v>
      </c>
      <c r="H4" s="13" t="n">
        <v>1</v>
      </c>
      <c r="I4" s="13" t="n">
        <v>0</v>
      </c>
      <c r="J4" s="13" t="n">
        <v>0</v>
      </c>
      <c r="K4" s="13" t="n">
        <v>10</v>
      </c>
      <c r="L4" s="13" t="n">
        <v>10</v>
      </c>
      <c r="M4" s="13" t="n">
        <v>10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3" t="n">
        <v>30</v>
      </c>
      <c r="U4" s="13" t="n">
        <v>0</v>
      </c>
      <c r="V4" s="13" t="n">
        <v>0</v>
      </c>
      <c r="W4" s="13" t="n">
        <v>0</v>
      </c>
      <c r="X4" s="13" t="str">
        <v>NO</v>
      </c>
      <c r="Y4" s="13" t="str">
        <v>NO</v>
      </c>
      <c r="Z4" s="13" t="n">
        <v>0</v>
      </c>
      <c r="AA4" s="9" t="str">
        <f>AB4&amp;"|"&amp;A4&amp;"|"&amp;D4</f>
        <v>[TEST] B.Tech. Construction Engineering &amp; Management|T103|I</v>
      </c>
      <c r="AB4" s="13" t="str">
        <v>[TEST] B.Tech. Construction Engineering &amp; Management</v>
      </c>
      <c r="AC4" s="13" t="n">
        <v>40</v>
      </c>
      <c r="AD4" s="13" t="n">
        <v>40</v>
      </c>
      <c r="AE4" s="13" t="n">
        <v>40</v>
      </c>
      <c r="AF4" s="13" t="n">
        <v>40</v>
      </c>
      <c r="AG4" s="13" t="n">
        <v>40</v>
      </c>
      <c r="AH4" s="13" t="n">
        <v>0</v>
      </c>
      <c r="AI4" s="13" t="str">
        <v>SYNTHETIC TEST SCHEME ONLY — not an academic approval</v>
      </c>
      <c r="AJ4" s="13" t="n">
        <v>1</v>
      </c>
      <c r="AK4" s="9" t="n">
        <v>3</v>
      </c>
    </row>
    <row r="5">
      <c r="A5" s="13" t="str">
        <v>T501</v>
      </c>
      <c r="B5" s="13" t="str">
        <v>TEST-ARCH</v>
      </c>
      <c r="C5" s="13" t="str">
        <v>Integrated Foundation</v>
      </c>
      <c r="D5" s="13" t="str">
        <v>I</v>
      </c>
      <c r="E5" s="13" t="str">
        <v>Architecture</v>
      </c>
      <c r="F5" s="13" t="n">
        <v>4</v>
      </c>
      <c r="G5" s="13" t="str">
        <v>theory,practical,skills</v>
      </c>
      <c r="H5" s="13" t="n">
        <v>1</v>
      </c>
      <c r="I5" s="13" t="n">
        <v>1</v>
      </c>
      <c r="J5" s="13" t="n">
        <v>1</v>
      </c>
      <c r="K5" s="13" t="n">
        <v>10</v>
      </c>
      <c r="L5" s="13" t="n">
        <v>10</v>
      </c>
      <c r="M5" s="13" t="n">
        <v>10</v>
      </c>
      <c r="N5" s="13" t="n">
        <v>10</v>
      </c>
      <c r="O5" s="13" t="n">
        <v>10</v>
      </c>
      <c r="P5" s="13" t="n">
        <v>10</v>
      </c>
      <c r="Q5" s="13" t="n">
        <v>10</v>
      </c>
      <c r="R5" s="13" t="n">
        <v>10</v>
      </c>
      <c r="S5" s="13" t="n">
        <v>10</v>
      </c>
      <c r="T5" s="13" t="n">
        <v>30</v>
      </c>
      <c r="U5" s="13" t="n">
        <v>30</v>
      </c>
      <c r="V5" s="13" t="n">
        <v>30</v>
      </c>
      <c r="W5" s="13" t="n">
        <v>0</v>
      </c>
      <c r="X5" s="13" t="str">
        <v>NO</v>
      </c>
      <c r="Y5" s="13" t="str">
        <v>NO</v>
      </c>
      <c r="Z5" s="13" t="n">
        <v>0</v>
      </c>
      <c r="AA5" s="9" t="str">
        <f>AB5&amp;"|"&amp;A5&amp;"|"&amp;D5</f>
        <v>[TEST] B.Arch. Architecture|T501|I</v>
      </c>
      <c r="AB5" s="13" t="str">
        <v>[TEST] B.Arch. Architecture</v>
      </c>
      <c r="AC5" s="13" t="n">
        <v>45</v>
      </c>
      <c r="AD5" s="13" t="n">
        <v>45</v>
      </c>
      <c r="AE5" s="13" t="n">
        <v>45</v>
      </c>
      <c r="AF5" s="13" t="n">
        <v>40</v>
      </c>
      <c r="AG5" s="13" t="n">
        <v>45</v>
      </c>
      <c r="AH5" s="13" t="n">
        <v>0</v>
      </c>
      <c r="AI5" s="13" t="str">
        <v>SYNTHETIC TEST SCHEME ONLY — not an academic approval</v>
      </c>
      <c r="AJ5" s="13" t="n">
        <v>1</v>
      </c>
      <c r="AK5" s="9" t="n">
        <v>4</v>
      </c>
    </row>
    <row r="6">
      <c r="A6" s="13" t="str">
        <v>T502</v>
      </c>
      <c r="B6" s="13" t="str">
        <v>TEST-ARCH</v>
      </c>
      <c r="C6" s="13" t="str">
        <v>Applied Studio &amp; Skills</v>
      </c>
      <c r="D6" s="13" t="str">
        <v>I</v>
      </c>
      <c r="E6" s="13" t="str">
        <v>Architecture</v>
      </c>
      <c r="F6" s="13" t="n">
        <v>3</v>
      </c>
      <c r="G6" s="13" t="str">
        <v>practical,skills</v>
      </c>
      <c r="H6" s="13" t="n">
        <v>0</v>
      </c>
      <c r="I6" s="13" t="n">
        <v>1</v>
      </c>
      <c r="J6" s="13" t="n">
        <v>1</v>
      </c>
      <c r="K6" s="13" t="n">
        <v>0</v>
      </c>
      <c r="L6" s="13" t="n">
        <v>0</v>
      </c>
      <c r="M6" s="13" t="n">
        <v>0</v>
      </c>
      <c r="N6" s="13" t="n">
        <v>10</v>
      </c>
      <c r="O6" s="13" t="n">
        <v>10</v>
      </c>
      <c r="P6" s="13" t="n">
        <v>10</v>
      </c>
      <c r="Q6" s="13" t="n">
        <v>10</v>
      </c>
      <c r="R6" s="13" t="n">
        <v>10</v>
      </c>
      <c r="S6" s="13" t="n">
        <v>10</v>
      </c>
      <c r="T6" s="13" t="n">
        <v>0</v>
      </c>
      <c r="U6" s="13" t="n">
        <v>30</v>
      </c>
      <c r="V6" s="13" t="n">
        <v>30</v>
      </c>
      <c r="W6" s="13" t="n">
        <v>0</v>
      </c>
      <c r="X6" s="13" t="str">
        <v>NO</v>
      </c>
      <c r="Y6" s="13" t="str">
        <v>NO</v>
      </c>
      <c r="Z6" s="13" t="n">
        <v>0</v>
      </c>
      <c r="AA6" s="9" t="str">
        <f>AB6&amp;"|"&amp;A6&amp;"|"&amp;D6</f>
        <v>[TEST] B.Arch. Architecture|T502|I</v>
      </c>
      <c r="AB6" s="13" t="str">
        <v>[TEST] B.Arch. Architecture</v>
      </c>
      <c r="AC6" s="13" t="n">
        <v>45</v>
      </c>
      <c r="AD6" s="13" t="n">
        <v>45</v>
      </c>
      <c r="AE6" s="13" t="n">
        <v>45</v>
      </c>
      <c r="AF6" s="13" t="n">
        <v>40</v>
      </c>
      <c r="AG6" s="13" t="n">
        <v>45</v>
      </c>
      <c r="AH6" s="13" t="n">
        <v>0</v>
      </c>
      <c r="AI6" s="13" t="str">
        <v>SYNTHETIC TEST SCHEME ONLY — not an academic approval</v>
      </c>
      <c r="AJ6" s="13" t="n">
        <v>1</v>
      </c>
      <c r="AK6" s="9" t="n">
        <v>5</v>
      </c>
    </row>
    <row r="7">
      <c r="A7" s="13" t="str">
        <v>T503</v>
      </c>
      <c r="B7" s="13" t="str">
        <v>TEST-ARCH</v>
      </c>
      <c r="C7" s="13" t="str">
        <v>Core Theory</v>
      </c>
      <c r="D7" s="13" t="str">
        <v>I</v>
      </c>
      <c r="E7" s="13" t="str">
        <v>Architecture</v>
      </c>
      <c r="F7" s="13" t="n">
        <v>2</v>
      </c>
      <c r="G7" s="13" t="str">
        <v>theory</v>
      </c>
      <c r="H7" s="13" t="n">
        <v>1</v>
      </c>
      <c r="I7" s="13" t="n">
        <v>0</v>
      </c>
      <c r="J7" s="13" t="n">
        <v>0</v>
      </c>
      <c r="K7" s="13" t="n">
        <v>10</v>
      </c>
      <c r="L7" s="13" t="n">
        <v>10</v>
      </c>
      <c r="M7" s="13" t="n">
        <v>10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3" t="n">
        <v>30</v>
      </c>
      <c r="U7" s="13" t="n">
        <v>0</v>
      </c>
      <c r="V7" s="13" t="n">
        <v>0</v>
      </c>
      <c r="W7" s="13" t="n">
        <v>0</v>
      </c>
      <c r="X7" s="13" t="str">
        <v>NO</v>
      </c>
      <c r="Y7" s="13" t="str">
        <v>NO</v>
      </c>
      <c r="Z7" s="13" t="n">
        <v>0</v>
      </c>
      <c r="AA7" s="9" t="str">
        <f>AB7&amp;"|"&amp;A7&amp;"|"&amp;D7</f>
        <v>[TEST] B.Arch. Architecture|T503|I</v>
      </c>
      <c r="AB7" s="13" t="str">
        <v>[TEST] B.Arch. Architecture</v>
      </c>
      <c r="AC7" s="13" t="n">
        <v>45</v>
      </c>
      <c r="AD7" s="13" t="n">
        <v>45</v>
      </c>
      <c r="AE7" s="13" t="n">
        <v>45</v>
      </c>
      <c r="AF7" s="13" t="n">
        <v>40</v>
      </c>
      <c r="AG7" s="13" t="n">
        <v>45</v>
      </c>
      <c r="AH7" s="13" t="n">
        <v>0</v>
      </c>
      <c r="AI7" s="13" t="str">
        <v>SYNTHETIC TEST SCHEME ONLY — not an academic approval</v>
      </c>
      <c r="AJ7" s="13" t="n">
        <v>1</v>
      </c>
      <c r="AK7" s="9" t="n">
        <v>6</v>
      </c>
    </row>
  </sheetData>
  <sheetProtection sheet="1" objects="1" scenarios="1" selectLockedCells="0" selectUnlockedCells="0" autoFilter="0" sort="0"/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18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  <col min="15" max="15" width="18" hidden="0" customWidth="1"/>
    <col min="16" max="16" width="18" hidden="0" customWidth="1"/>
    <col min="17" max="17" width="18" hidden="0" customWidth="1"/>
    <col min="18" max="18" width="18" hidden="0" customWidth="1"/>
    <col min="19" max="19" width="18" hidden="0" customWidth="1"/>
    <col min="20" max="20" width="25" hidden="0" customWidth="1"/>
    <col min="21" max="21" width="18" hidden="0" customWidth="1"/>
    <col min="22" max="22" width="18" hidden="0" customWidth="1"/>
    <col min="23" max="23" width="18" hidden="0" customWidth="1"/>
    <col min="24" max="24" width="18" hidden="0" customWidth="1"/>
    <col min="25" max="25" width="18" hidden="0" customWidth="1"/>
    <col min="26" max="26" width="18" hidden="0" customWidth="1"/>
    <col min="27" max="27" width="18" hidden="0" customWidth="1"/>
    <col min="28" max="28" width="18" hidden="0" customWidth="1"/>
    <col min="29" max="29" width="18" hidden="0" customWidth="1"/>
    <col min="30" max="30" width="18" hidden="0" customWidth="1"/>
    <col min="31" max="31" width="18" hidden="0" customWidth="1"/>
    <col min="32" max="32" width="18" hidden="0" customWidth="1"/>
    <col min="33" max="33" width="18" hidden="0" customWidth="1"/>
    <col min="34" max="34" width="18" hidden="0" customWidth="1"/>
    <col min="35" max="35" width="18" hidden="0" customWidth="1"/>
    <col min="36" max="36" width="18" hidden="0" customWidth="1"/>
    <col min="37" max="37" width="18" hidden="0" customWidth="1"/>
    <col min="38" max="38" width="18" hidden="0" customWidth="1"/>
    <col min="39" max="39" width="18" hidden="0" customWidth="1"/>
    <col min="40" max="40" width="18" hidden="0" customWidth="1"/>
    <col min="41" max="41" width="18" hidden="0" customWidth="1"/>
    <col min="42" max="42" width="18" hidden="0" customWidth="1"/>
    <col min="43" max="43" width="18" hidden="0" customWidth="1"/>
    <col min="44" max="44" width="18" hidden="0" customWidth="1"/>
    <col min="45" max="45" width="18" hidden="0" customWidth="1"/>
    <col min="46" max="46" width="18" hidden="0" customWidth="1"/>
    <col min="47" max="47" width="18" hidden="0" customWidth="1"/>
    <col min="48" max="48" width="18" hidden="0" customWidth="1"/>
  </cols>
  <sheetData>
    <row r="1" ht="36" customHeight="1">
      <c r="A1" s="8" t="str">
        <v>PRN</v>
      </c>
      <c r="B1" s="8" t="str">
        <v>Name of the Student</v>
      </c>
      <c r="C1" s="8" t="str">
        <v>PaperCode</v>
      </c>
      <c r="D1" s="8" t="str">
        <v>Subject</v>
      </c>
      <c r="E1" s="8" t="str">
        <v>Programme_Type</v>
      </c>
      <c r="F1" s="8" t="str">
        <v>Total_CA_Max</v>
      </c>
      <c r="G1" s="8" t="str">
        <v>Total_CA_Obtained</v>
      </c>
      <c r="H1" s="8" t="str">
        <v>Internal_Percentage</v>
      </c>
      <c r="I1" s="8" t="str">
        <v>Min_Internal_Passing_Marks</v>
      </c>
      <c r="J1" s="8" t="str">
        <v>Internal_Status</v>
      </c>
      <c r="K1" s="8" t="str">
        <v>ESE_Theory</v>
      </c>
      <c r="L1" s="8" t="str">
        <v>ESE_Practical</v>
      </c>
      <c r="M1" s="8" t="str">
        <v>ESE_Skills</v>
      </c>
      <c r="N1" s="8" t="str">
        <v>ESE_Theory_Max</v>
      </c>
      <c r="O1" s="8" t="str">
        <v>ESE_Practical_Max</v>
      </c>
      <c r="P1" s="8" t="str">
        <v>ESE_Skills_Max</v>
      </c>
      <c r="Q1" s="8" t="str">
        <v>Total_Max</v>
      </c>
      <c r="R1" s="8" t="str">
        <v>Total_Obtained</v>
      </c>
      <c r="S1" s="8" t="str">
        <v>Overall_Percentage</v>
      </c>
      <c r="T1" s="8" t="str">
        <v>Programme_Passing_Pct</v>
      </c>
      <c r="U1" s="8" t="str">
        <v>Final_Status</v>
      </c>
      <c r="V1" s="8" t="str">
        <v>Grade_Point</v>
      </c>
      <c r="W1" s="8" t="str">
        <v>Credit_Points</v>
      </c>
      <c r="X1" s="8" t="str">
        <v>SGPA</v>
      </c>
      <c r="Y1" s="8" t="str">
        <v>Attendance_Count</v>
      </c>
      <c r="Z1" s="8" t="str">
        <v>Required_Attendance</v>
      </c>
      <c r="AA1" s="8" t="str">
        <v>Attendance_Status</v>
      </c>
      <c r="AB1" s="8" t="str">
        <v>CA_Submission_Status</v>
      </c>
      <c r="AC1" s="8" t="str">
        <v>TNG_Status</v>
      </c>
      <c r="AD1" s="8" t="str">
        <v>Grade_Point_Raw</v>
      </c>
      <c r="AE1" s="8" t="str">
        <v>Grade_Point_Rounded</v>
      </c>
      <c r="AF1" s="8" t="str">
        <v>Grade_Point_Ceiling</v>
      </c>
      <c r="AG1" s="8" t="str">
        <v>Letter_Grade</v>
      </c>
      <c r="AH1" s="8" t="str">
        <v>Course_Credits</v>
      </c>
      <c r="AI1" s="8" t="str">
        <v>Academic_Year</v>
      </c>
      <c r="AJ1" s="8" t="str">
        <v>Exam_Session</v>
      </c>
      <c r="AK1" s="8" t="str">
        <v>Semester</v>
      </c>
      <c r="AL1" s="8" t="str">
        <v>Complete_Components</v>
      </c>
      <c r="AM1" s="8" t="str">
        <v>Absent_Components</v>
      </c>
      <c r="AN1" s="8" t="str">
        <v>Invalid_Rows</v>
      </c>
      <c r="AO1" s="8" t="str">
        <v>Failed_ESE_Heads</v>
      </c>
      <c r="AP1" s="8" t="str">
        <v>Programme</v>
      </c>
      <c r="AQ1" s="8" t="str">
        <v>Duplicate_Assessments</v>
      </c>
      <c r="AR1" s="8" t="str">
        <v>Policy_Approved</v>
      </c>
      <c r="AS1" s="8" t="str">
        <v>ESE_Eligibility</v>
      </c>
      <c r="AT1" s="8" t="str">
        <v>Programme_Code</v>
      </c>
      <c r="AU1" s="8" t="str">
        <v>Course_Row</v>
      </c>
      <c r="AV1" s="8" t="str">
        <v>Expected_Components</v>
      </c>
    </row>
    <row r="2">
      <c r="A2" s="9" t="str">
        <v>TEST1001</v>
      </c>
      <c r="B2" s="9" t="str">
        <v>Test Student 1-01 (PASS)</v>
      </c>
      <c r="C2" s="9" t="str">
        <v>T101</v>
      </c>
      <c r="D2" s="9" t="str">
        <v>Integrated Foundation</v>
      </c>
      <c r="E2" s="9" t="str">
        <f>INDEX('Course_Config'!$E$2:$E$7,AU2)</f>
        <v>Non-Architecture</v>
      </c>
      <c r="F2" s="9" t="n">
        <f>IF(INDEX('Course_Config'!$H$2:$H$7,AU2)=1,SUM(INDEX('Course_Config'!$K$2:$K$7,AU2),INDEX('Course_Config'!$L$2:$L$7,AU2),INDEX('Course_Config'!$M$2:$M$7,AU2)),0)+IF(INDEX('Course_Config'!$I$2:$I$7,AU2)=1,SUM(INDEX('Course_Config'!$N$2:$N$7,AU2),INDEX('Course_Config'!$O$2:$O$7,AU2),INDEX('Course_Config'!$P$2:$P$7,AU2)),0)+IF(INDEX('Course_Config'!$J$2:$J$7,AU2)=1,SUM(INDEX('Course_Config'!$Q$2:$Q$7,AU2),INDEX('Course_Config'!$R$2:$R$7,AU2),INDEX('Course_Config'!$S$2:$S$7,AU2)),0)</f>
        <v>90</v>
      </c>
      <c r="G2" s="9" t="n">
        <f>IF(INDEX('Course_Config'!$H$2:$H$7,AU2)=1,SUM(SUMIFS('Student_Marks'!$K$2:$K$49,'Student_Marks'!$B$2:$B$49,A2,'Student_Marks'!$F$2:$F$49,C2,'Student_Marks'!$D$2:$D$49,AP2,'Student_Marks'!$E$2:$E$49,AK2,'Student_Marks'!$H$2:$H$49,AI2,'Student_Marks'!$I$2:$I$49,AJ2,'Student_Marks'!$J$2:$J$49,"CA1"),SUMIFS('Student_Marks'!$K$2:$K$49,'Student_Marks'!$B$2:$B$49,A2,'Student_Marks'!$F$2:$F$49,C2,'Student_Marks'!$D$2:$D$49,AP2,'Student_Marks'!$E$2:$E$49,AK2,'Student_Marks'!$H$2:$H$49,AI2,'Student_Marks'!$I$2:$I$49,AJ2,'Student_Marks'!$J$2:$J$49,"CA2"),SUMIFS('Student_Marks'!$K$2:$K$49,'Student_Marks'!$B$2:$B$49,A2,'Student_Marks'!$F$2:$F$49,C2,'Student_Marks'!$D$2:$D$49,AP2,'Student_Marks'!$E$2:$E$49,AK2,'Student_Marks'!$H$2:$H$49,AI2,'Student_Marks'!$I$2:$I$49,AJ2,'Student_Marks'!$J$2:$J$49,"CA3")),0)+IF(INDEX('Course_Config'!$I$2:$I$7,AU2)=1,SUM(SUMIFS('Student_Marks'!$L$2:$L$49,'Student_Marks'!$B$2:$B$49,A2,'Student_Marks'!$F$2:$F$49,C2,'Student_Marks'!$D$2:$D$49,AP2,'Student_Marks'!$E$2:$E$49,AK2,'Student_Marks'!$H$2:$H$49,AI2,'Student_Marks'!$I$2:$I$49,AJ2,'Student_Marks'!$J$2:$J$49,"CA1"),SUMIFS('Student_Marks'!$L$2:$L$49,'Student_Marks'!$B$2:$B$49,A2,'Student_Marks'!$F$2:$F$49,C2,'Student_Marks'!$D$2:$D$49,AP2,'Student_Marks'!$E$2:$E$49,AK2,'Student_Marks'!$H$2:$H$49,AI2,'Student_Marks'!$I$2:$I$49,AJ2,'Student_Marks'!$J$2:$J$49,"CA2"),SUMIFS('Student_Marks'!$L$2:$L$49,'Student_Marks'!$B$2:$B$49,A2,'Student_Marks'!$F$2:$F$49,C2,'Student_Marks'!$D$2:$D$49,AP2,'Student_Marks'!$E$2:$E$49,AK2,'Student_Marks'!$H$2:$H$49,AI2,'Student_Marks'!$I$2:$I$49,AJ2,'Student_Marks'!$J$2:$J$49,"CA3")),0)+IF(INDEX('Course_Config'!$J$2:$J$7,AU2)=1,SUM(SUMIFS('Student_Marks'!$M$2:$M$49,'Student_Marks'!$B$2:$B$49,A2,'Student_Marks'!$F$2:$F$49,C2,'Student_Marks'!$D$2:$D$49,AP2,'Student_Marks'!$E$2:$E$49,AK2,'Student_Marks'!$H$2:$H$49,AI2,'Student_Marks'!$I$2:$I$49,AJ2,'Student_Marks'!$J$2:$J$49,"CA1"),SUMIFS('Student_Marks'!$M$2:$M$49,'Student_Marks'!$B$2:$B$49,A2,'Student_Marks'!$F$2:$F$49,C2,'Student_Marks'!$D$2:$D$49,AP2,'Student_Marks'!$E$2:$E$49,AK2,'Student_Marks'!$H$2:$H$49,AI2,'Student_Marks'!$I$2:$I$49,AJ2,'Student_Marks'!$J$2:$J$49,"CA2"),SUMIFS('Student_Marks'!$M$2:$M$49,'Student_Marks'!$B$2:$B$49,A2,'Student_Marks'!$F$2:$F$49,C2,'Student_Marks'!$D$2:$D$49,AP2,'Student_Marks'!$E$2:$E$49,AK2,'Student_Marks'!$H$2:$H$49,AI2,'Student_Marks'!$I$2:$I$49,AJ2,'Student_Marks'!$J$2:$J$49,"CA3")),0)</f>
        <v>72</v>
      </c>
      <c r="H2" s="9" t="n">
        <f>IF(F2=0,0,G2/F2*100)</f>
        <v>80</v>
      </c>
      <c r="I2" s="9" t="n">
        <f>IF(INDEX('Course_Config'!$AH$2:$AH$7,AU2)=1,ROUNDUP(F2*INDEX('Course_Config'!$AF$2:$AF$7,AU2)/100,0),F2*INDEX('Course_Config'!$AF$2:$AF$7,AU2)/100)</f>
        <v>36</v>
      </c>
      <c r="J2" s="9" t="str">
        <f>IF((IF(INDEX('Course_Config'!$H$2:$H$7,AU2)=1,COUNTIFS('Student_Marks'!$B$2:$B$49,A2,'Student_Marks'!$F$2:$F$49,C2,'Student_Marks'!$D$2:$D$49,AP2,'Student_Marks'!$E$2:$E$49,AK2,'Student_Marks'!$H$2:$H$49,AI2,'Student_Marks'!$I$2:$I$49,AJ2,'Student_Marks'!$J$2:$J$49,"CA1",'Student_Marks'!$K$2:$K$49,"&gt;=0",'Student_Marks'!$K$2:$K$49,"&lt;&gt;"),0)+IF(INDEX('Course_Config'!$I$2:$I$7,AU2)=1,COUNTIFS('Student_Marks'!$B$2:$B$49,A2,'Student_Marks'!$F$2:$F$49,C2,'Student_Marks'!$D$2:$D$49,AP2,'Student_Marks'!$E$2:$E$49,AK2,'Student_Marks'!$H$2:$H$49,AI2,'Student_Marks'!$I$2:$I$49,AJ2,'Student_Marks'!$J$2:$J$49,"CA1",'Student_Marks'!$L$2:$L$49,"&gt;=0",'Student_Marks'!$L$2:$L$49,"&lt;&gt;"),0)+IF(INDEX('Course_Config'!$J$2:$J$7,AU2)=1,COUNTIFS('Student_Marks'!$B$2:$B$49,A2,'Student_Marks'!$F$2:$F$49,C2,'Student_Marks'!$D$2:$D$49,AP2,'Student_Marks'!$E$2:$E$49,AK2,'Student_Marks'!$H$2:$H$49,AI2,'Student_Marks'!$I$2:$I$49,AJ2,'Student_Marks'!$J$2:$J$49,"CA1",'Student_Marks'!$M$2:$M$49,"&gt;=0",'Student_Marks'!$M$2:$M$49,"&lt;&gt;"),0)+IF(INDEX('Course_Config'!$H$2:$H$7,AU2)=1,COUNTIFS('Student_Marks'!$B$2:$B$49,A2,'Student_Marks'!$F$2:$F$49,C2,'Student_Marks'!$D$2:$D$49,AP2,'Student_Marks'!$E$2:$E$49,AK2,'Student_Marks'!$H$2:$H$49,AI2,'Student_Marks'!$I$2:$I$49,AJ2,'Student_Marks'!$J$2:$J$49,"CA2",'Student_Marks'!$K$2:$K$49,"&gt;=0",'Student_Marks'!$K$2:$K$49,"&lt;&gt;"),0)+IF(INDEX('Course_Config'!$I$2:$I$7,AU2)=1,COUNTIFS('Student_Marks'!$B$2:$B$49,A2,'Student_Marks'!$F$2:$F$49,C2,'Student_Marks'!$D$2:$D$49,AP2,'Student_Marks'!$E$2:$E$49,AK2,'Student_Marks'!$H$2:$H$49,AI2,'Student_Marks'!$I$2:$I$49,AJ2,'Student_Marks'!$J$2:$J$49,"CA2",'Student_Marks'!$L$2:$L$49,"&gt;=0",'Student_Marks'!$L$2:$L$49,"&lt;&gt;"),0)+IF(INDEX('Course_Config'!$J$2:$J$7,AU2)=1,COUNTIFS('Student_Marks'!$B$2:$B$49,A2,'Student_Marks'!$F$2:$F$49,C2,'Student_Marks'!$D$2:$D$49,AP2,'Student_Marks'!$E$2:$E$49,AK2,'Student_Marks'!$H$2:$H$49,AI2,'Student_Marks'!$I$2:$I$49,AJ2,'Student_Marks'!$J$2:$J$49,"CA2",'Student_Marks'!$M$2:$M$49,"&gt;=0",'Student_Marks'!$M$2:$M$49,"&lt;&gt;"),0)+IF(INDEX('Course_Config'!$H$2:$H$7,AU2)=1,COUNTIFS('Student_Marks'!$B$2:$B$49,A2,'Student_Marks'!$F$2:$F$49,C2,'Student_Marks'!$D$2:$D$49,AP2,'Student_Marks'!$E$2:$E$49,AK2,'Student_Marks'!$H$2:$H$49,AI2,'Student_Marks'!$I$2:$I$49,AJ2,'Student_Marks'!$J$2:$J$49,"CA3",'Student_Marks'!$K$2:$K$49,"&gt;=0",'Student_Marks'!$K$2:$K$49,"&lt;&gt;"),0)+IF(INDEX('Course_Config'!$I$2:$I$7,AU2)=1,COUNTIFS('Student_Marks'!$B$2:$B$49,A2,'Student_Marks'!$F$2:$F$49,C2,'Student_Marks'!$D$2:$D$49,AP2,'Student_Marks'!$E$2:$E$49,AK2,'Student_Marks'!$H$2:$H$49,AI2,'Student_Marks'!$I$2:$I$49,AJ2,'Student_Marks'!$J$2:$J$49,"CA3",'Student_Marks'!$L$2:$L$49,"&gt;=0",'Student_Marks'!$L$2:$L$49,"&lt;&gt;"),0)+IF(INDEX('Course_Config'!$J$2:$J$7,AU2)=1,COUNTIFS('Student_Marks'!$B$2:$B$49,A2,'Student_Marks'!$F$2:$F$49,C2,'Student_Marks'!$D$2:$D$49,AP2,'Student_Marks'!$E$2:$E$49,AK2,'Student_Marks'!$H$2:$H$49,AI2,'Student_Marks'!$I$2:$I$49,AJ2,'Student_Marks'!$J$2:$J$49,"CA3",'Student_Marks'!$M$2:$M$49,"&gt;=0",'Student_Marks'!$M$2:$M$49,"&lt;&gt;"),0))&lt;AV2*3/4,"PENDING",IF(G2&lt;I2,"TNG","TG"))</f>
        <v>TG</v>
      </c>
      <c r="K2" s="9" t="n">
        <f>IF(INDEX('Course_Config'!$H$2:$H$7,AU2)=0,"N/A",IF(COUNTIFS('Student_Marks'!$B$2:$B$49,A2,'Student_Marks'!$F$2:$F$49,C2,'Student_Marks'!$D$2:$D$49,AP2,'Student_Marks'!$E$2:$E$49,AK2,'Student_Marks'!$H$2:$H$49,AI2,'Student_Marks'!$I$2:$I$49,AJ2,'Student_Marks'!$J$2:$J$49,"ESE",'Student_Marks'!$K$2:$K$49,"AB")&gt;0,"AB",IF(COUNTIFS('Student_Marks'!$B$2:$B$49,A2,'Student_Marks'!$F$2:$F$49,C2,'Student_Marks'!$D$2:$D$49,AP2,'Student_Marks'!$E$2:$E$49,AK2,'Student_Marks'!$H$2:$H$49,AI2,'Student_Marks'!$I$2:$I$49,AJ2,'Student_Marks'!$J$2:$J$49,"ESE",'Student_Marks'!$K$2:$K$49,"&gt;=0",'Student_Marks'!$K$2:$K$49,"&lt;&gt;")=0,"PENDING",SUMIFS('Student_Marks'!$K$2:$K$49,'Student_Marks'!$B$2:$B$49,A2,'Student_Marks'!$F$2:$F$49,C2,'Student_Marks'!$D$2:$D$49,AP2,'Student_Marks'!$E$2:$E$49,AK2,'Student_Marks'!$H$2:$H$49,AI2,'Student_Marks'!$I$2:$I$49,AJ2,'Student_Marks'!$J$2:$J$49,"ESE"))))</f>
        <v>24</v>
      </c>
      <c r="L2" s="9" t="n">
        <f>IF(INDEX('Course_Config'!$I$2:$I$7,AU2)=0,"N/A",IF(COUNTIFS('Student_Marks'!$B$2:$B$49,A2,'Student_Marks'!$F$2:$F$49,C2,'Student_Marks'!$D$2:$D$49,AP2,'Student_Marks'!$E$2:$E$49,AK2,'Student_Marks'!$H$2:$H$49,AI2,'Student_Marks'!$I$2:$I$49,AJ2,'Student_Marks'!$J$2:$J$49,"ESE",'Student_Marks'!$L$2:$L$49,"AB")&gt;0,"AB",IF(COUNTIFS('Student_Marks'!$B$2:$B$49,A2,'Student_Marks'!$F$2:$F$49,C2,'Student_Marks'!$D$2:$D$49,AP2,'Student_Marks'!$E$2:$E$49,AK2,'Student_Marks'!$H$2:$H$49,AI2,'Student_Marks'!$I$2:$I$49,AJ2,'Student_Marks'!$J$2:$J$49,"ESE",'Student_Marks'!$L$2:$L$49,"&gt;=0",'Student_Marks'!$L$2:$L$49,"&lt;&gt;")=0,"PENDING",SUMIFS('Student_Marks'!$L$2:$L$49,'Student_Marks'!$B$2:$B$49,A2,'Student_Marks'!$F$2:$F$49,C2,'Student_Marks'!$D$2:$D$49,AP2,'Student_Marks'!$E$2:$E$49,AK2,'Student_Marks'!$H$2:$H$49,AI2,'Student_Marks'!$I$2:$I$49,AJ2,'Student_Marks'!$J$2:$J$49,"ESE"))))</f>
        <v>24</v>
      </c>
      <c r="M2" s="9" t="n">
        <f>IF(INDEX('Course_Config'!$J$2:$J$7,AU2)=0,"N/A",IF(COUNTIFS('Student_Marks'!$B$2:$B$49,A2,'Student_Marks'!$F$2:$F$49,C2,'Student_Marks'!$D$2:$D$49,AP2,'Student_Marks'!$E$2:$E$49,AK2,'Student_Marks'!$H$2:$H$49,AI2,'Student_Marks'!$I$2:$I$49,AJ2,'Student_Marks'!$J$2:$J$49,"ESE",'Student_Marks'!$M$2:$M$49,"AB")&gt;0,"AB",IF(COUNTIFS('Student_Marks'!$B$2:$B$49,A2,'Student_Marks'!$F$2:$F$49,C2,'Student_Marks'!$D$2:$D$49,AP2,'Student_Marks'!$E$2:$E$49,AK2,'Student_Marks'!$H$2:$H$49,AI2,'Student_Marks'!$I$2:$I$49,AJ2,'Student_Marks'!$J$2:$J$49,"ESE",'Student_Marks'!$M$2:$M$49,"&gt;=0",'Student_Marks'!$M$2:$M$49,"&lt;&gt;")=0,"PENDING",SUMIFS('Student_Marks'!$M$2:$M$49,'Student_Marks'!$B$2:$B$49,A2,'Student_Marks'!$F$2:$F$49,C2,'Student_Marks'!$D$2:$D$49,AP2,'Student_Marks'!$E$2:$E$49,AK2,'Student_Marks'!$H$2:$H$49,AI2,'Student_Marks'!$I$2:$I$49,AJ2,'Student_Marks'!$J$2:$J$49,"ESE"))))</f>
        <v>24</v>
      </c>
      <c r="N2" s="9" t="n">
        <f>IF(INDEX('Course_Config'!$H$2:$H$7,AU2)=1,INDEX('Course_Config'!$T$2:$T$7,AU2),0)</f>
        <v>30</v>
      </c>
      <c r="O2" s="9" t="n">
        <f>IF(INDEX('Course_Config'!$I$2:$I$7,AU2)=1,INDEX('Course_Config'!$U$2:$U$7,AU2),0)</f>
        <v>30</v>
      </c>
      <c r="P2" s="9" t="n">
        <f>IF(INDEX('Course_Config'!$J$2:$J$7,AU2)=1,INDEX('Course_Config'!$V$2:$V$7,AU2),0)</f>
        <v>30</v>
      </c>
      <c r="Q2" s="9" t="n">
        <f>SUM(F2,N2:P2)</f>
        <v>180</v>
      </c>
      <c r="R2" s="9" t="n">
        <f>SUM(G2,K2:M2)</f>
        <v>144</v>
      </c>
      <c r="S2" s="11" t="n">
        <f>IF(Q2=0,0,R2/Q2*100)</f>
        <v>80</v>
      </c>
      <c r="T2" s="9" t="n">
        <f>INDEX('Course_Config'!$AG$2:$AG$7,AU2)</f>
        <v>40</v>
      </c>
      <c r="U2" s="9" t="str">
        <f>IF(OR(AR2&lt;&gt;1,AN2&gt;0,AQ2&gt;0),"WITHHELD",IF(J2="TNG","TNG",IF(AL2&lt;AV2,"PENDING",IF(AM2&gt;0,"ABSENT",IF(OR(AO2&gt;0,S2&lt;T2),"FAIL","PASS")))))</f>
        <v>PASS</v>
      </c>
      <c r="V2" s="9" t="n">
        <f>IF(U2="PASS",IF(E2="Architecture",IF(S2&gt;='Grading_Reference'!B11,'Grading_Reference'!D11,IF(S2&gt;='Grading_Reference'!B12,'Grading_Reference'!D12,IF(S2&gt;='Grading_Reference'!B13,'Grading_Reference'!D13,IF(S2&gt;='Grading_Reference'!B14,'Grading_Reference'!D14,IF(S2&gt;='Grading_Reference'!B15,'Grading_Reference'!D15,IF(S2&gt;='Grading_Reference'!B16,'Grading_Reference'!D16,0)))))),IF(S2&gt;='Grading_Reference'!B2,'Grading_Reference'!D2,IF(S2&gt;='Grading_Reference'!B3,'Grading_Reference'!D3,IF(S2&gt;='Grading_Reference'!B4,'Grading_Reference'!D4,IF(S2&gt;='Grading_Reference'!B5,'Grading_Reference'!D5,IF(S2&gt;='Grading_Reference'!B6,'Grading_Reference'!D6,IF(S2&gt;='Grading_Reference'!B7,'Grading_Reference'!D7,IF(S2&gt;='Grading_Reference'!B8,'Grading_Reference'!D8,0)))))))),0)</f>
        <v>8</v>
      </c>
      <c r="W2" s="9" t="n">
        <f>AH2*V2</f>
        <v>32</v>
      </c>
      <c r="X2" s="11" t="n">
        <f>'SGPA'!F2</f>
        <v>8</v>
      </c>
      <c r="Y2" s="9"/>
      <c r="Z2" s="9" t="n">
        <v>0</v>
      </c>
      <c r="AA2" s="9" t="str">
        <f>"NOT_REQUIRED"</f>
        <v>NOT_REQUIRED</v>
      </c>
      <c r="AB2" s="9" t="str">
        <v>NOT_REQUIRED</v>
      </c>
      <c r="AC2" s="9" t="str">
        <f>IF(J2="TNG","TNG",U2)</f>
        <v>PASS</v>
      </c>
      <c r="AD2" s="9" t="n">
        <f>V2</f>
        <v>8</v>
      </c>
      <c r="AE2" s="9" t="n">
        <f>V2</f>
        <v>8</v>
      </c>
      <c r="AF2" s="9" t="n">
        <f>V2</f>
        <v>8</v>
      </c>
      <c r="AG2" s="9" t="str">
        <f>IF(U2="PASS",IF(E2="Architecture",IF(S2&gt;='Grading_Reference'!B11,'Grading_Reference'!E11,IF(S2&gt;='Grading_Reference'!B12,'Grading_Reference'!E12,IF(S2&gt;='Grading_Reference'!B13,'Grading_Reference'!E13,IF(S2&gt;='Grading_Reference'!B14,'Grading_Reference'!E14,IF(S2&gt;='Grading_Reference'!B15,'Grading_Reference'!E15,IF(S2&gt;='Grading_Reference'!B16,'Grading_Reference'!E16,"F")))))),IF(S2&gt;='Grading_Reference'!B2,'Grading_Reference'!E2,IF(S2&gt;='Grading_Reference'!B3,'Grading_Reference'!E3,IF(S2&gt;='Grading_Reference'!B4,'Grading_Reference'!E4,IF(S2&gt;='Grading_Reference'!B5,'Grading_Reference'!E5,IF(S2&gt;='Grading_Reference'!B6,'Grading_Reference'!E6,IF(S2&gt;='Grading_Reference'!B7,'Grading_Reference'!E7,IF(S2&gt;='Grading_Reference'!B8,'Grading_Reference'!E8,"F")))))))),IF(U2="ABSENT","Ab",IF(U2="FAIL","F",U2)))</f>
        <v>A</v>
      </c>
      <c r="AH2" s="9" t="n">
        <f>INDEX('Course_Config'!$F$2:$F$7,AU2)</f>
        <v>4</v>
      </c>
      <c r="AI2" s="9" t="str">
        <v>2026-27</v>
      </c>
      <c r="AJ2" s="9" t="str">
        <v>Oct 2026 TEST</v>
      </c>
      <c r="AK2" s="9" t="str">
        <v>I</v>
      </c>
      <c r="AL2" s="9" t="n">
        <f>IF(INDEX('Course_Config'!$H$2:$H$7,AU2)=1,COUNTIFS('Student_Marks'!$B$2:$B$49,A2,'Student_Marks'!$F$2:$F$49,C2,'Student_Marks'!$D$2:$D$49,AP2,'Student_Marks'!$E$2:$E$49,AK2,'Student_Marks'!$H$2:$H$49,AI2,'Student_Marks'!$I$2:$I$49,AJ2,'Student_Marks'!$K$2:$K$49,"&gt;=0",'Student_Marks'!$K$2:$K$49,"&lt;&gt;")+COUNTIFS('Student_Marks'!$B$2:$B$49,A2,'Student_Marks'!$F$2:$F$49,C2,'Student_Marks'!$D$2:$D$49,AP2,'Student_Marks'!$E$2:$E$49,AK2,'Student_Marks'!$H$2:$H$49,AI2,'Student_Marks'!$I$2:$I$49,AJ2,'Student_Marks'!$K$2:$K$49,"AB"),0)+IF(INDEX('Course_Config'!$I$2:$I$7,AU2)=1,COUNTIFS('Student_Marks'!$B$2:$B$49,A2,'Student_Marks'!$F$2:$F$49,C2,'Student_Marks'!$D$2:$D$49,AP2,'Student_Marks'!$E$2:$E$49,AK2,'Student_Marks'!$H$2:$H$49,AI2,'Student_Marks'!$I$2:$I$49,AJ2,'Student_Marks'!$L$2:$L$49,"&gt;=0",'Student_Marks'!$L$2:$L$49,"&lt;&gt;")+COUNTIFS('Student_Marks'!$B$2:$B$49,A2,'Student_Marks'!$F$2:$F$49,C2,'Student_Marks'!$D$2:$D$49,AP2,'Student_Marks'!$E$2:$E$49,AK2,'Student_Marks'!$H$2:$H$49,AI2,'Student_Marks'!$I$2:$I$49,AJ2,'Student_Marks'!$L$2:$L$49,"AB"),0)+IF(INDEX('Course_Config'!$J$2:$J$7,AU2)=1,COUNTIFS('Student_Marks'!$B$2:$B$49,A2,'Student_Marks'!$F$2:$F$49,C2,'Student_Marks'!$D$2:$D$49,AP2,'Student_Marks'!$E$2:$E$49,AK2,'Student_Marks'!$H$2:$H$49,AI2,'Student_Marks'!$I$2:$I$49,AJ2,'Student_Marks'!$M$2:$M$49,"&gt;=0",'Student_Marks'!$M$2:$M$49,"&lt;&gt;")+COUNTIFS('Student_Marks'!$B$2:$B$49,A2,'Student_Marks'!$F$2:$F$49,C2,'Student_Marks'!$D$2:$D$49,AP2,'Student_Marks'!$E$2:$E$49,AK2,'Student_Marks'!$H$2:$H$49,AI2,'Student_Marks'!$I$2:$I$49,AJ2,'Student_Marks'!$M$2:$M$49,"AB"),0)</f>
        <v>12</v>
      </c>
      <c r="AM2" s="9" t="n">
        <f>IF(INDEX('Course_Config'!$H$2:$H$7,AU2)=1,COUNTIFS('Student_Marks'!$B$2:$B$49,A2,'Student_Marks'!$F$2:$F$49,C2,'Student_Marks'!$D$2:$D$49,AP2,'Student_Marks'!$E$2:$E$49,AK2,'Student_Marks'!$H$2:$H$49,AI2,'Student_Marks'!$I$2:$I$49,AJ2,'Student_Marks'!$K$2:$K$49,"AB"),0)+IF(INDEX('Course_Config'!$I$2:$I$7,AU2)=1,COUNTIFS('Student_Marks'!$B$2:$B$49,A2,'Student_Marks'!$F$2:$F$49,C2,'Student_Marks'!$D$2:$D$49,AP2,'Student_Marks'!$E$2:$E$49,AK2,'Student_Marks'!$H$2:$H$49,AI2,'Student_Marks'!$I$2:$I$49,AJ2,'Student_Marks'!$L$2:$L$49,"AB"),0)+IF(INDEX('Course_Config'!$J$2:$J$7,AU2)=1,COUNTIFS('Student_Marks'!$B$2:$B$49,A2,'Student_Marks'!$F$2:$F$49,C2,'Student_Marks'!$D$2:$D$49,AP2,'Student_Marks'!$E$2:$E$49,AK2,'Student_Marks'!$H$2:$H$49,AI2,'Student_Marks'!$I$2:$I$49,AJ2,'Student_Marks'!$M$2:$M$49,"AB"),0)</f>
        <v>0</v>
      </c>
      <c r="AN2" s="9" t="n">
        <f>COUNTIFS('Student_Marks'!$B$2:$B$49,A2,'Student_Marks'!$F$2:$F$49,C2,'Student_Marks'!$D$2:$D$49,AP2,'Student_Marks'!$E$2:$E$49,AK2,'Student_Marks'!$H$2:$H$49,AI2,'Student_Marks'!$I$2:$I$49,AJ2,'Student_Marks'!$Q$2:$Q$49,"INVALID")</f>
        <v>0</v>
      </c>
      <c r="AO2" s="9" t="n">
        <f>IF(AND(N2&gt;0,ISNUMBER(K2)),IF(K2&lt;IF(INDEX('Course_Config'!$AH$2:$AH$7,AU2)=1,ROUNDUP(N2*INDEX('Course_Config'!$AC$2:$AC$7,AU2)/100,0),N2*INDEX('Course_Config'!$AC$2:$AC$7,AU2)/100),1,0),0)+IF(AND(O2&gt;0,ISNUMBER(L2)),IF(L2&lt;IF(INDEX('Course_Config'!$AH$2:$AH$7,AU2)=1,ROUNDUP(O2*INDEX('Course_Config'!$AD$2:$AD$7,AU2)/100,0),O2*INDEX('Course_Config'!$AD$2:$AD$7,AU2)/100),1,0),0)+IF(AND(P2&gt;0,ISNUMBER(M2)),IF(M2&lt;IF(INDEX('Course_Config'!$AH$2:$AH$7,AU2)=1,ROUNDUP(P2*INDEX('Course_Config'!$AE$2:$AE$7,AU2)/100,0),P2*INDEX('Course_Config'!$AE$2:$AE$7,AU2)/100),1,0),0)</f>
        <v>0</v>
      </c>
      <c r="AP2" s="9" t="str">
        <v>[TEST] B.Tech. Construction Engineering &amp; Management</v>
      </c>
      <c r="AQ2" s="9" t="n">
        <f>IF(COUNTIFS('Student_Marks'!$B$2:$B$49,A2,'Student_Marks'!$F$2:$F$49,C2,'Student_Marks'!$D$2:$D$49,AP2,'Student_Marks'!$E$2:$E$49,AK2,'Student_Marks'!$H$2:$H$49,AI2,'Student_Marks'!$I$2:$I$49,AJ2,'Student_Marks'!$J$2:$J$49,"CA1")&gt;1,1,0)+IF(COUNTIFS('Student_Marks'!$B$2:$B$49,A2,'Student_Marks'!$F$2:$F$49,C2,'Student_Marks'!$D$2:$D$49,AP2,'Student_Marks'!$E$2:$E$49,AK2,'Student_Marks'!$H$2:$H$49,AI2,'Student_Marks'!$I$2:$I$49,AJ2,'Student_Marks'!$J$2:$J$49,"CA2")&gt;1,1,0)+IF(COUNTIFS('Student_Marks'!$B$2:$B$49,A2,'Student_Marks'!$F$2:$F$49,C2,'Student_Marks'!$D$2:$D$49,AP2,'Student_Marks'!$E$2:$E$49,AK2,'Student_Marks'!$H$2:$H$49,AI2,'Student_Marks'!$I$2:$I$49,AJ2,'Student_Marks'!$J$2:$J$49,"CA3")&gt;1,1,0)+IF(COUNTIFS('Student_Marks'!$B$2:$B$49,A2,'Student_Marks'!$F$2:$F$49,C2,'Student_Marks'!$D$2:$D$49,AP2,'Student_Marks'!$E$2:$E$49,AK2,'Student_Marks'!$H$2:$H$49,AI2,'Student_Marks'!$I$2:$I$49,AJ2,'Student_Marks'!$J$2:$J$49,"ESE")&gt;1,1,0)</f>
        <v>0</v>
      </c>
      <c r="AR2" s="9" t="n">
        <f>INDEX('Course_Config'!$AJ$2:$AJ$7,AU2)</f>
        <v>1</v>
      </c>
      <c r="AS2" s="9" t="str">
        <f>IF(J2="TG","ELIGIBLE","NOT_ELIGIBLE")</f>
        <v>ELIGIBLE</v>
      </c>
      <c r="AT2" s="9" t="str">
        <v>TEST-1</v>
      </c>
      <c r="AU2" s="9" t="n">
        <f>SUMIFS('Course_Config'!$AK$2:$AK$7,'Course_Config'!$AA$2:$AA$7,AP2&amp;"|"&amp;C2&amp;"|"&amp;AK2)</f>
        <v>1</v>
      </c>
      <c r="AV2" s="9" t="n">
        <f>4*SUM(INDEX('Course_Config'!$H$2:$H$7,AU2),INDEX('Course_Config'!$I$2:$I$7,AU2),INDEX('Course_Config'!$J$2:$J$7,AU2))</f>
        <v>12</v>
      </c>
    </row>
    <row r="3">
      <c r="A3" s="9" t="str">
        <v>TEST1001</v>
      </c>
      <c r="B3" s="9" t="str">
        <v>Test Student 1-01 (PASS)</v>
      </c>
      <c r="C3" s="9" t="str">
        <v>T102</v>
      </c>
      <c r="D3" s="9" t="str">
        <v>Applied Studio &amp; Skills</v>
      </c>
      <c r="E3" s="9" t="str">
        <f>INDEX('Course_Config'!$E$2:$E$7,AU3)</f>
        <v>Non-Architecture</v>
      </c>
      <c r="F3" s="9" t="n">
        <f>IF(INDEX('Course_Config'!$H$2:$H$7,AU3)=1,SUM(INDEX('Course_Config'!$K$2:$K$7,AU3),INDEX('Course_Config'!$L$2:$L$7,AU3),INDEX('Course_Config'!$M$2:$M$7,AU3)),0)+IF(INDEX('Course_Config'!$I$2:$I$7,AU3)=1,SUM(INDEX('Course_Config'!$N$2:$N$7,AU3),INDEX('Course_Config'!$O$2:$O$7,AU3),INDEX('Course_Config'!$P$2:$P$7,AU3)),0)+IF(INDEX('Course_Config'!$J$2:$J$7,AU3)=1,SUM(INDEX('Course_Config'!$Q$2:$Q$7,AU3),INDEX('Course_Config'!$R$2:$R$7,AU3),INDEX('Course_Config'!$S$2:$S$7,AU3)),0)</f>
        <v>60</v>
      </c>
      <c r="G3" s="9" t="n">
        <f>IF(INDEX('Course_Config'!$H$2:$H$7,AU3)=1,SUM(SUMIFS('Student_Marks'!$K$2:$K$49,'Student_Marks'!$B$2:$B$49,A3,'Student_Marks'!$F$2:$F$49,C3,'Student_Marks'!$D$2:$D$49,AP3,'Student_Marks'!$E$2:$E$49,AK3,'Student_Marks'!$H$2:$H$49,AI3,'Student_Marks'!$I$2:$I$49,AJ3,'Student_Marks'!$J$2:$J$49,"CA1"),SUMIFS('Student_Marks'!$K$2:$K$49,'Student_Marks'!$B$2:$B$49,A3,'Student_Marks'!$F$2:$F$49,C3,'Student_Marks'!$D$2:$D$49,AP3,'Student_Marks'!$E$2:$E$49,AK3,'Student_Marks'!$H$2:$H$49,AI3,'Student_Marks'!$I$2:$I$49,AJ3,'Student_Marks'!$J$2:$J$49,"CA2"),SUMIFS('Student_Marks'!$K$2:$K$49,'Student_Marks'!$B$2:$B$49,A3,'Student_Marks'!$F$2:$F$49,C3,'Student_Marks'!$D$2:$D$49,AP3,'Student_Marks'!$E$2:$E$49,AK3,'Student_Marks'!$H$2:$H$49,AI3,'Student_Marks'!$I$2:$I$49,AJ3,'Student_Marks'!$J$2:$J$49,"CA3")),0)+IF(INDEX('Course_Config'!$I$2:$I$7,AU3)=1,SUM(SUMIFS('Student_Marks'!$L$2:$L$49,'Student_Marks'!$B$2:$B$49,A3,'Student_Marks'!$F$2:$F$49,C3,'Student_Marks'!$D$2:$D$49,AP3,'Student_Marks'!$E$2:$E$49,AK3,'Student_Marks'!$H$2:$H$49,AI3,'Student_Marks'!$I$2:$I$49,AJ3,'Student_Marks'!$J$2:$J$49,"CA1"),SUMIFS('Student_Marks'!$L$2:$L$49,'Student_Marks'!$B$2:$B$49,A3,'Student_Marks'!$F$2:$F$49,C3,'Student_Marks'!$D$2:$D$49,AP3,'Student_Marks'!$E$2:$E$49,AK3,'Student_Marks'!$H$2:$H$49,AI3,'Student_Marks'!$I$2:$I$49,AJ3,'Student_Marks'!$J$2:$J$49,"CA2"),SUMIFS('Student_Marks'!$L$2:$L$49,'Student_Marks'!$B$2:$B$49,A3,'Student_Marks'!$F$2:$F$49,C3,'Student_Marks'!$D$2:$D$49,AP3,'Student_Marks'!$E$2:$E$49,AK3,'Student_Marks'!$H$2:$H$49,AI3,'Student_Marks'!$I$2:$I$49,AJ3,'Student_Marks'!$J$2:$J$49,"CA3")),0)+IF(INDEX('Course_Config'!$J$2:$J$7,AU3)=1,SUM(SUMIFS('Student_Marks'!$M$2:$M$49,'Student_Marks'!$B$2:$B$49,A3,'Student_Marks'!$F$2:$F$49,C3,'Student_Marks'!$D$2:$D$49,AP3,'Student_Marks'!$E$2:$E$49,AK3,'Student_Marks'!$H$2:$H$49,AI3,'Student_Marks'!$I$2:$I$49,AJ3,'Student_Marks'!$J$2:$J$49,"CA1"),SUMIFS('Student_Marks'!$M$2:$M$49,'Student_Marks'!$B$2:$B$49,A3,'Student_Marks'!$F$2:$F$49,C3,'Student_Marks'!$D$2:$D$49,AP3,'Student_Marks'!$E$2:$E$49,AK3,'Student_Marks'!$H$2:$H$49,AI3,'Student_Marks'!$I$2:$I$49,AJ3,'Student_Marks'!$J$2:$J$49,"CA2"),SUMIFS('Student_Marks'!$M$2:$M$49,'Student_Marks'!$B$2:$B$49,A3,'Student_Marks'!$F$2:$F$49,C3,'Student_Marks'!$D$2:$D$49,AP3,'Student_Marks'!$E$2:$E$49,AK3,'Student_Marks'!$H$2:$H$49,AI3,'Student_Marks'!$I$2:$I$49,AJ3,'Student_Marks'!$J$2:$J$49,"CA3")),0)</f>
        <v>48</v>
      </c>
      <c r="H3" s="9" t="n">
        <f>IF(F3=0,0,G3/F3*100)</f>
        <v>80</v>
      </c>
      <c r="I3" s="9" t="n">
        <f>IF(INDEX('Course_Config'!$AH$2:$AH$7,AU3)=1,ROUNDUP(F3*INDEX('Course_Config'!$AF$2:$AF$7,AU3)/100,0),F3*INDEX('Course_Config'!$AF$2:$AF$7,AU3)/100)</f>
        <v>24</v>
      </c>
      <c r="J3" s="9" t="str">
        <f>IF((IF(INDEX('Course_Config'!$H$2:$H$7,AU3)=1,COUNTIFS('Student_Marks'!$B$2:$B$49,A3,'Student_Marks'!$F$2:$F$49,C3,'Student_Marks'!$D$2:$D$49,AP3,'Student_Marks'!$E$2:$E$49,AK3,'Student_Marks'!$H$2:$H$49,AI3,'Student_Marks'!$I$2:$I$49,AJ3,'Student_Marks'!$J$2:$J$49,"CA1",'Student_Marks'!$K$2:$K$49,"&gt;=0",'Student_Marks'!$K$2:$K$49,"&lt;&gt;"),0)+IF(INDEX('Course_Config'!$I$2:$I$7,AU3)=1,COUNTIFS('Student_Marks'!$B$2:$B$49,A3,'Student_Marks'!$F$2:$F$49,C3,'Student_Marks'!$D$2:$D$49,AP3,'Student_Marks'!$E$2:$E$49,AK3,'Student_Marks'!$H$2:$H$49,AI3,'Student_Marks'!$I$2:$I$49,AJ3,'Student_Marks'!$J$2:$J$49,"CA1",'Student_Marks'!$L$2:$L$49,"&gt;=0",'Student_Marks'!$L$2:$L$49,"&lt;&gt;"),0)+IF(INDEX('Course_Config'!$J$2:$J$7,AU3)=1,COUNTIFS('Student_Marks'!$B$2:$B$49,A3,'Student_Marks'!$F$2:$F$49,C3,'Student_Marks'!$D$2:$D$49,AP3,'Student_Marks'!$E$2:$E$49,AK3,'Student_Marks'!$H$2:$H$49,AI3,'Student_Marks'!$I$2:$I$49,AJ3,'Student_Marks'!$J$2:$J$49,"CA1",'Student_Marks'!$M$2:$M$49,"&gt;=0",'Student_Marks'!$M$2:$M$49,"&lt;&gt;"),0)+IF(INDEX('Course_Config'!$H$2:$H$7,AU3)=1,COUNTIFS('Student_Marks'!$B$2:$B$49,A3,'Student_Marks'!$F$2:$F$49,C3,'Student_Marks'!$D$2:$D$49,AP3,'Student_Marks'!$E$2:$E$49,AK3,'Student_Marks'!$H$2:$H$49,AI3,'Student_Marks'!$I$2:$I$49,AJ3,'Student_Marks'!$J$2:$J$49,"CA2",'Student_Marks'!$K$2:$K$49,"&gt;=0",'Student_Marks'!$K$2:$K$49,"&lt;&gt;"),0)+IF(INDEX('Course_Config'!$I$2:$I$7,AU3)=1,COUNTIFS('Student_Marks'!$B$2:$B$49,A3,'Student_Marks'!$F$2:$F$49,C3,'Student_Marks'!$D$2:$D$49,AP3,'Student_Marks'!$E$2:$E$49,AK3,'Student_Marks'!$H$2:$H$49,AI3,'Student_Marks'!$I$2:$I$49,AJ3,'Student_Marks'!$J$2:$J$49,"CA2",'Student_Marks'!$L$2:$L$49,"&gt;=0",'Student_Marks'!$L$2:$L$49,"&lt;&gt;"),0)+IF(INDEX('Course_Config'!$J$2:$J$7,AU3)=1,COUNTIFS('Student_Marks'!$B$2:$B$49,A3,'Student_Marks'!$F$2:$F$49,C3,'Student_Marks'!$D$2:$D$49,AP3,'Student_Marks'!$E$2:$E$49,AK3,'Student_Marks'!$H$2:$H$49,AI3,'Student_Marks'!$I$2:$I$49,AJ3,'Student_Marks'!$J$2:$J$49,"CA2",'Student_Marks'!$M$2:$M$49,"&gt;=0",'Student_Marks'!$M$2:$M$49,"&lt;&gt;"),0)+IF(INDEX('Course_Config'!$H$2:$H$7,AU3)=1,COUNTIFS('Student_Marks'!$B$2:$B$49,A3,'Student_Marks'!$F$2:$F$49,C3,'Student_Marks'!$D$2:$D$49,AP3,'Student_Marks'!$E$2:$E$49,AK3,'Student_Marks'!$H$2:$H$49,AI3,'Student_Marks'!$I$2:$I$49,AJ3,'Student_Marks'!$J$2:$J$49,"CA3",'Student_Marks'!$K$2:$K$49,"&gt;=0",'Student_Marks'!$K$2:$K$49,"&lt;&gt;"),0)+IF(INDEX('Course_Config'!$I$2:$I$7,AU3)=1,COUNTIFS('Student_Marks'!$B$2:$B$49,A3,'Student_Marks'!$F$2:$F$49,C3,'Student_Marks'!$D$2:$D$49,AP3,'Student_Marks'!$E$2:$E$49,AK3,'Student_Marks'!$H$2:$H$49,AI3,'Student_Marks'!$I$2:$I$49,AJ3,'Student_Marks'!$J$2:$J$49,"CA3",'Student_Marks'!$L$2:$L$49,"&gt;=0",'Student_Marks'!$L$2:$L$49,"&lt;&gt;"),0)+IF(INDEX('Course_Config'!$J$2:$J$7,AU3)=1,COUNTIFS('Student_Marks'!$B$2:$B$49,A3,'Student_Marks'!$F$2:$F$49,C3,'Student_Marks'!$D$2:$D$49,AP3,'Student_Marks'!$E$2:$E$49,AK3,'Student_Marks'!$H$2:$H$49,AI3,'Student_Marks'!$I$2:$I$49,AJ3,'Student_Marks'!$J$2:$J$49,"CA3",'Student_Marks'!$M$2:$M$49,"&gt;=0",'Student_Marks'!$M$2:$M$49,"&lt;&gt;"),0))&lt;AV3*3/4,"PENDING",IF(G3&lt;I3,"TNG","TG"))</f>
        <v>TG</v>
      </c>
      <c r="K3" s="9" t="str">
        <f>IF(INDEX('Course_Config'!$H$2:$H$7,AU3)=0,"N/A",IF(COUNTIFS('Student_Marks'!$B$2:$B$49,A3,'Student_Marks'!$F$2:$F$49,C3,'Student_Marks'!$D$2:$D$49,AP3,'Student_Marks'!$E$2:$E$49,AK3,'Student_Marks'!$H$2:$H$49,AI3,'Student_Marks'!$I$2:$I$49,AJ3,'Student_Marks'!$J$2:$J$49,"ESE",'Student_Marks'!$K$2:$K$49,"AB")&gt;0,"AB",IF(COUNTIFS('Student_Marks'!$B$2:$B$49,A3,'Student_Marks'!$F$2:$F$49,C3,'Student_Marks'!$D$2:$D$49,AP3,'Student_Marks'!$E$2:$E$49,AK3,'Student_Marks'!$H$2:$H$49,AI3,'Student_Marks'!$I$2:$I$49,AJ3,'Student_Marks'!$J$2:$J$49,"ESE",'Student_Marks'!$K$2:$K$49,"&gt;=0",'Student_Marks'!$K$2:$K$49,"&lt;&gt;")=0,"PENDING",SUMIFS('Student_Marks'!$K$2:$K$49,'Student_Marks'!$B$2:$B$49,A3,'Student_Marks'!$F$2:$F$49,C3,'Student_Marks'!$D$2:$D$49,AP3,'Student_Marks'!$E$2:$E$49,AK3,'Student_Marks'!$H$2:$H$49,AI3,'Student_Marks'!$I$2:$I$49,AJ3,'Student_Marks'!$J$2:$J$49,"ESE"))))</f>
        <v>N/A</v>
      </c>
      <c r="L3" s="9" t="n">
        <f>IF(INDEX('Course_Config'!$I$2:$I$7,AU3)=0,"N/A",IF(COUNTIFS('Student_Marks'!$B$2:$B$49,A3,'Student_Marks'!$F$2:$F$49,C3,'Student_Marks'!$D$2:$D$49,AP3,'Student_Marks'!$E$2:$E$49,AK3,'Student_Marks'!$H$2:$H$49,AI3,'Student_Marks'!$I$2:$I$49,AJ3,'Student_Marks'!$J$2:$J$49,"ESE",'Student_Marks'!$L$2:$L$49,"AB")&gt;0,"AB",IF(COUNTIFS('Student_Marks'!$B$2:$B$49,A3,'Student_Marks'!$F$2:$F$49,C3,'Student_Marks'!$D$2:$D$49,AP3,'Student_Marks'!$E$2:$E$49,AK3,'Student_Marks'!$H$2:$H$49,AI3,'Student_Marks'!$I$2:$I$49,AJ3,'Student_Marks'!$J$2:$J$49,"ESE",'Student_Marks'!$L$2:$L$49,"&gt;=0",'Student_Marks'!$L$2:$L$49,"&lt;&gt;")=0,"PENDING",SUMIFS('Student_Marks'!$L$2:$L$49,'Student_Marks'!$B$2:$B$49,A3,'Student_Marks'!$F$2:$F$49,C3,'Student_Marks'!$D$2:$D$49,AP3,'Student_Marks'!$E$2:$E$49,AK3,'Student_Marks'!$H$2:$H$49,AI3,'Student_Marks'!$I$2:$I$49,AJ3,'Student_Marks'!$J$2:$J$49,"ESE"))))</f>
        <v>24</v>
      </c>
      <c r="M3" s="9" t="n">
        <f>IF(INDEX('Course_Config'!$J$2:$J$7,AU3)=0,"N/A",IF(COUNTIFS('Student_Marks'!$B$2:$B$49,A3,'Student_Marks'!$F$2:$F$49,C3,'Student_Marks'!$D$2:$D$49,AP3,'Student_Marks'!$E$2:$E$49,AK3,'Student_Marks'!$H$2:$H$49,AI3,'Student_Marks'!$I$2:$I$49,AJ3,'Student_Marks'!$J$2:$J$49,"ESE",'Student_Marks'!$M$2:$M$49,"AB")&gt;0,"AB",IF(COUNTIFS('Student_Marks'!$B$2:$B$49,A3,'Student_Marks'!$F$2:$F$49,C3,'Student_Marks'!$D$2:$D$49,AP3,'Student_Marks'!$E$2:$E$49,AK3,'Student_Marks'!$H$2:$H$49,AI3,'Student_Marks'!$I$2:$I$49,AJ3,'Student_Marks'!$J$2:$J$49,"ESE",'Student_Marks'!$M$2:$M$49,"&gt;=0",'Student_Marks'!$M$2:$M$49,"&lt;&gt;")=0,"PENDING",SUMIFS('Student_Marks'!$M$2:$M$49,'Student_Marks'!$B$2:$B$49,A3,'Student_Marks'!$F$2:$F$49,C3,'Student_Marks'!$D$2:$D$49,AP3,'Student_Marks'!$E$2:$E$49,AK3,'Student_Marks'!$H$2:$H$49,AI3,'Student_Marks'!$I$2:$I$49,AJ3,'Student_Marks'!$J$2:$J$49,"ESE"))))</f>
        <v>24</v>
      </c>
      <c r="N3" s="9" t="n">
        <f>IF(INDEX('Course_Config'!$H$2:$H$7,AU3)=1,INDEX('Course_Config'!$T$2:$T$7,AU3),0)</f>
        <v>0</v>
      </c>
      <c r="O3" s="9" t="n">
        <f>IF(INDEX('Course_Config'!$I$2:$I$7,AU3)=1,INDEX('Course_Config'!$U$2:$U$7,AU3),0)</f>
        <v>30</v>
      </c>
      <c r="P3" s="9" t="n">
        <f>IF(INDEX('Course_Config'!$J$2:$J$7,AU3)=1,INDEX('Course_Config'!$V$2:$V$7,AU3),0)</f>
        <v>30</v>
      </c>
      <c r="Q3" s="9" t="n">
        <f>SUM(F3,N3:P3)</f>
        <v>120</v>
      </c>
      <c r="R3" s="9" t="n">
        <f>SUM(G3,K3:M3)</f>
        <v>96</v>
      </c>
      <c r="S3" s="11" t="n">
        <f>IF(Q3=0,0,R3/Q3*100)</f>
        <v>80</v>
      </c>
      <c r="T3" s="9" t="n">
        <f>INDEX('Course_Config'!$AG$2:$AG$7,AU3)</f>
        <v>40</v>
      </c>
      <c r="U3" s="9" t="str">
        <f>IF(OR(AR3&lt;&gt;1,AN3&gt;0,AQ3&gt;0),"WITHHELD",IF(J3="TNG","TNG",IF(AL3&lt;AV3,"PENDING",IF(AM3&gt;0,"ABSENT",IF(OR(AO3&gt;0,S3&lt;T3),"FAIL","PASS")))))</f>
        <v>PASS</v>
      </c>
      <c r="V3" s="9" t="n">
        <f>IF(U3="PASS",IF(E3="Architecture",IF(S3&gt;='Grading_Reference'!B11,'Grading_Reference'!D11,IF(S3&gt;='Grading_Reference'!B12,'Grading_Reference'!D12,IF(S3&gt;='Grading_Reference'!B13,'Grading_Reference'!D13,IF(S3&gt;='Grading_Reference'!B14,'Grading_Reference'!D14,IF(S3&gt;='Grading_Reference'!B15,'Grading_Reference'!D15,IF(S3&gt;='Grading_Reference'!B16,'Grading_Reference'!D16,0)))))),IF(S3&gt;='Grading_Reference'!B2,'Grading_Reference'!D2,IF(S3&gt;='Grading_Reference'!B3,'Grading_Reference'!D3,IF(S3&gt;='Grading_Reference'!B4,'Grading_Reference'!D4,IF(S3&gt;='Grading_Reference'!B5,'Grading_Reference'!D5,IF(S3&gt;='Grading_Reference'!B6,'Grading_Reference'!D6,IF(S3&gt;='Grading_Reference'!B7,'Grading_Reference'!D7,IF(S3&gt;='Grading_Reference'!B8,'Grading_Reference'!D8,0)))))))),0)</f>
        <v>8</v>
      </c>
      <c r="W3" s="9" t="n">
        <f>AH3*V3</f>
        <v>24</v>
      </c>
      <c r="X3" s="11" t="n">
        <f>'SGPA'!F2</f>
        <v>8</v>
      </c>
      <c r="Y3" s="9"/>
      <c r="Z3" s="9" t="n">
        <v>0</v>
      </c>
      <c r="AA3" s="9" t="str">
        <f>"NOT_REQUIRED"</f>
        <v>NOT_REQUIRED</v>
      </c>
      <c r="AB3" s="9" t="str">
        <v>NOT_REQUIRED</v>
      </c>
      <c r="AC3" s="9" t="str">
        <f>IF(J3="TNG","TNG",U3)</f>
        <v>PASS</v>
      </c>
      <c r="AD3" s="9" t="n">
        <f>V3</f>
        <v>8</v>
      </c>
      <c r="AE3" s="9" t="n">
        <f>V3</f>
        <v>8</v>
      </c>
      <c r="AF3" s="9" t="n">
        <f>V3</f>
        <v>8</v>
      </c>
      <c r="AG3" s="9" t="str">
        <f>IF(U3="PASS",IF(E3="Architecture",IF(S3&gt;='Grading_Reference'!B11,'Grading_Reference'!E11,IF(S3&gt;='Grading_Reference'!B12,'Grading_Reference'!E12,IF(S3&gt;='Grading_Reference'!B13,'Grading_Reference'!E13,IF(S3&gt;='Grading_Reference'!B14,'Grading_Reference'!E14,IF(S3&gt;='Grading_Reference'!B15,'Grading_Reference'!E15,IF(S3&gt;='Grading_Reference'!B16,'Grading_Reference'!E16,"F")))))),IF(S3&gt;='Grading_Reference'!B2,'Grading_Reference'!E2,IF(S3&gt;='Grading_Reference'!B3,'Grading_Reference'!E3,IF(S3&gt;='Grading_Reference'!B4,'Grading_Reference'!E4,IF(S3&gt;='Grading_Reference'!B5,'Grading_Reference'!E5,IF(S3&gt;='Grading_Reference'!B6,'Grading_Reference'!E6,IF(S3&gt;='Grading_Reference'!B7,'Grading_Reference'!E7,IF(S3&gt;='Grading_Reference'!B8,'Grading_Reference'!E8,"F")))))))),IF(U3="ABSENT","Ab",IF(U3="FAIL","F",U3)))</f>
        <v>A</v>
      </c>
      <c r="AH3" s="9" t="n">
        <f>INDEX('Course_Config'!$F$2:$F$7,AU3)</f>
        <v>3</v>
      </c>
      <c r="AI3" s="9" t="str">
        <v>2026-27</v>
      </c>
      <c r="AJ3" s="9" t="str">
        <v>Oct 2026 TEST</v>
      </c>
      <c r="AK3" s="9" t="str">
        <v>I</v>
      </c>
      <c r="AL3" s="9" t="n">
        <f>IF(INDEX('Course_Config'!$H$2:$H$7,AU3)=1,COUNTIFS('Student_Marks'!$B$2:$B$49,A3,'Student_Marks'!$F$2:$F$49,C3,'Student_Marks'!$D$2:$D$49,AP3,'Student_Marks'!$E$2:$E$49,AK3,'Student_Marks'!$H$2:$H$49,AI3,'Student_Marks'!$I$2:$I$49,AJ3,'Student_Marks'!$K$2:$K$49,"&gt;=0",'Student_Marks'!$K$2:$K$49,"&lt;&gt;")+COUNTIFS('Student_Marks'!$B$2:$B$49,A3,'Student_Marks'!$F$2:$F$49,C3,'Student_Marks'!$D$2:$D$49,AP3,'Student_Marks'!$E$2:$E$49,AK3,'Student_Marks'!$H$2:$H$49,AI3,'Student_Marks'!$I$2:$I$49,AJ3,'Student_Marks'!$K$2:$K$49,"AB"),0)+IF(INDEX('Course_Config'!$I$2:$I$7,AU3)=1,COUNTIFS('Student_Marks'!$B$2:$B$49,A3,'Student_Marks'!$F$2:$F$49,C3,'Student_Marks'!$D$2:$D$49,AP3,'Student_Marks'!$E$2:$E$49,AK3,'Student_Marks'!$H$2:$H$49,AI3,'Student_Marks'!$I$2:$I$49,AJ3,'Student_Marks'!$L$2:$L$49,"&gt;=0",'Student_Marks'!$L$2:$L$49,"&lt;&gt;")+COUNTIFS('Student_Marks'!$B$2:$B$49,A3,'Student_Marks'!$F$2:$F$49,C3,'Student_Marks'!$D$2:$D$49,AP3,'Student_Marks'!$E$2:$E$49,AK3,'Student_Marks'!$H$2:$H$49,AI3,'Student_Marks'!$I$2:$I$49,AJ3,'Student_Marks'!$L$2:$L$49,"AB"),0)+IF(INDEX('Course_Config'!$J$2:$J$7,AU3)=1,COUNTIFS('Student_Marks'!$B$2:$B$49,A3,'Student_Marks'!$F$2:$F$49,C3,'Student_Marks'!$D$2:$D$49,AP3,'Student_Marks'!$E$2:$E$49,AK3,'Student_Marks'!$H$2:$H$49,AI3,'Student_Marks'!$I$2:$I$49,AJ3,'Student_Marks'!$M$2:$M$49,"&gt;=0",'Student_Marks'!$M$2:$M$49,"&lt;&gt;")+COUNTIFS('Student_Marks'!$B$2:$B$49,A3,'Student_Marks'!$F$2:$F$49,C3,'Student_Marks'!$D$2:$D$49,AP3,'Student_Marks'!$E$2:$E$49,AK3,'Student_Marks'!$H$2:$H$49,AI3,'Student_Marks'!$I$2:$I$49,AJ3,'Student_Marks'!$M$2:$M$49,"AB"),0)</f>
        <v>8</v>
      </c>
      <c r="AM3" s="9" t="n">
        <f>IF(INDEX('Course_Config'!$H$2:$H$7,AU3)=1,COUNTIFS('Student_Marks'!$B$2:$B$49,A3,'Student_Marks'!$F$2:$F$49,C3,'Student_Marks'!$D$2:$D$49,AP3,'Student_Marks'!$E$2:$E$49,AK3,'Student_Marks'!$H$2:$H$49,AI3,'Student_Marks'!$I$2:$I$49,AJ3,'Student_Marks'!$K$2:$K$49,"AB"),0)+IF(INDEX('Course_Config'!$I$2:$I$7,AU3)=1,COUNTIFS('Student_Marks'!$B$2:$B$49,A3,'Student_Marks'!$F$2:$F$49,C3,'Student_Marks'!$D$2:$D$49,AP3,'Student_Marks'!$E$2:$E$49,AK3,'Student_Marks'!$H$2:$H$49,AI3,'Student_Marks'!$I$2:$I$49,AJ3,'Student_Marks'!$L$2:$L$49,"AB"),0)+IF(INDEX('Course_Config'!$J$2:$J$7,AU3)=1,COUNTIFS('Student_Marks'!$B$2:$B$49,A3,'Student_Marks'!$F$2:$F$49,C3,'Student_Marks'!$D$2:$D$49,AP3,'Student_Marks'!$E$2:$E$49,AK3,'Student_Marks'!$H$2:$H$49,AI3,'Student_Marks'!$I$2:$I$49,AJ3,'Student_Marks'!$M$2:$M$49,"AB"),0)</f>
        <v>0</v>
      </c>
      <c r="AN3" s="9" t="n">
        <f>COUNTIFS('Student_Marks'!$B$2:$B$49,A3,'Student_Marks'!$F$2:$F$49,C3,'Student_Marks'!$D$2:$D$49,AP3,'Student_Marks'!$E$2:$E$49,AK3,'Student_Marks'!$H$2:$H$49,AI3,'Student_Marks'!$I$2:$I$49,AJ3,'Student_Marks'!$Q$2:$Q$49,"INVALID")</f>
        <v>0</v>
      </c>
      <c r="AO3" s="9" t="n">
        <f>IF(AND(N3&gt;0,ISNUMBER(K3)),IF(K3&lt;IF(INDEX('Course_Config'!$AH$2:$AH$7,AU3)=1,ROUNDUP(N3*INDEX('Course_Config'!$AC$2:$AC$7,AU3)/100,0),N3*INDEX('Course_Config'!$AC$2:$AC$7,AU3)/100),1,0),0)+IF(AND(O3&gt;0,ISNUMBER(L3)),IF(L3&lt;IF(INDEX('Course_Config'!$AH$2:$AH$7,AU3)=1,ROUNDUP(O3*INDEX('Course_Config'!$AD$2:$AD$7,AU3)/100,0),O3*INDEX('Course_Config'!$AD$2:$AD$7,AU3)/100),1,0),0)+IF(AND(P3&gt;0,ISNUMBER(M3)),IF(M3&lt;IF(INDEX('Course_Config'!$AH$2:$AH$7,AU3)=1,ROUNDUP(P3*INDEX('Course_Config'!$AE$2:$AE$7,AU3)/100,0),P3*INDEX('Course_Config'!$AE$2:$AE$7,AU3)/100),1,0),0)</f>
        <v>0</v>
      </c>
      <c r="AP3" s="9" t="str">
        <v>[TEST] B.Tech. Construction Engineering &amp; Management</v>
      </c>
      <c r="AQ3" s="9" t="n">
        <f>IF(COUNTIFS('Student_Marks'!$B$2:$B$49,A3,'Student_Marks'!$F$2:$F$49,C3,'Student_Marks'!$D$2:$D$49,AP3,'Student_Marks'!$E$2:$E$49,AK3,'Student_Marks'!$H$2:$H$49,AI3,'Student_Marks'!$I$2:$I$49,AJ3,'Student_Marks'!$J$2:$J$49,"CA1")&gt;1,1,0)+IF(COUNTIFS('Student_Marks'!$B$2:$B$49,A3,'Student_Marks'!$F$2:$F$49,C3,'Student_Marks'!$D$2:$D$49,AP3,'Student_Marks'!$E$2:$E$49,AK3,'Student_Marks'!$H$2:$H$49,AI3,'Student_Marks'!$I$2:$I$49,AJ3,'Student_Marks'!$J$2:$J$49,"CA2")&gt;1,1,0)+IF(COUNTIFS('Student_Marks'!$B$2:$B$49,A3,'Student_Marks'!$F$2:$F$49,C3,'Student_Marks'!$D$2:$D$49,AP3,'Student_Marks'!$E$2:$E$49,AK3,'Student_Marks'!$H$2:$H$49,AI3,'Student_Marks'!$I$2:$I$49,AJ3,'Student_Marks'!$J$2:$J$49,"CA3")&gt;1,1,0)+IF(COUNTIFS('Student_Marks'!$B$2:$B$49,A3,'Student_Marks'!$F$2:$F$49,C3,'Student_Marks'!$D$2:$D$49,AP3,'Student_Marks'!$E$2:$E$49,AK3,'Student_Marks'!$H$2:$H$49,AI3,'Student_Marks'!$I$2:$I$49,AJ3,'Student_Marks'!$J$2:$J$49,"ESE")&gt;1,1,0)</f>
        <v>0</v>
      </c>
      <c r="AR3" s="9" t="n">
        <f>INDEX('Course_Config'!$AJ$2:$AJ$7,AU3)</f>
        <v>1</v>
      </c>
      <c r="AS3" s="9" t="str">
        <f>IF(J3="TG","ELIGIBLE","NOT_ELIGIBLE")</f>
        <v>ELIGIBLE</v>
      </c>
      <c r="AT3" s="9" t="str">
        <v>TEST-1</v>
      </c>
      <c r="AU3" s="9" t="n">
        <f>SUMIFS('Course_Config'!$AK$2:$AK$7,'Course_Config'!$AA$2:$AA$7,AP3&amp;"|"&amp;C3&amp;"|"&amp;AK3)</f>
        <v>2</v>
      </c>
      <c r="AV3" s="9" t="n">
        <f>4*SUM(INDEX('Course_Config'!$H$2:$H$7,AU3),INDEX('Course_Config'!$I$2:$I$7,AU3),INDEX('Course_Config'!$J$2:$J$7,AU3))</f>
        <v>8</v>
      </c>
    </row>
    <row r="4">
      <c r="A4" s="9" t="str">
        <v>TEST1001</v>
      </c>
      <c r="B4" s="9" t="str">
        <v>Test Student 1-01 (PASS)</v>
      </c>
      <c r="C4" s="9" t="str">
        <v>T103</v>
      </c>
      <c r="D4" s="9" t="str">
        <v>Core Theory</v>
      </c>
      <c r="E4" s="9" t="str">
        <f>INDEX('Course_Config'!$E$2:$E$7,AU4)</f>
        <v>Non-Architecture</v>
      </c>
      <c r="F4" s="9" t="n">
        <f>IF(INDEX('Course_Config'!$H$2:$H$7,AU4)=1,SUM(INDEX('Course_Config'!$K$2:$K$7,AU4),INDEX('Course_Config'!$L$2:$L$7,AU4),INDEX('Course_Config'!$M$2:$M$7,AU4)),0)+IF(INDEX('Course_Config'!$I$2:$I$7,AU4)=1,SUM(INDEX('Course_Config'!$N$2:$N$7,AU4),INDEX('Course_Config'!$O$2:$O$7,AU4),INDEX('Course_Config'!$P$2:$P$7,AU4)),0)+IF(INDEX('Course_Config'!$J$2:$J$7,AU4)=1,SUM(INDEX('Course_Config'!$Q$2:$Q$7,AU4),INDEX('Course_Config'!$R$2:$R$7,AU4),INDEX('Course_Config'!$S$2:$S$7,AU4)),0)</f>
        <v>30</v>
      </c>
      <c r="G4" s="9" t="n">
        <f>IF(INDEX('Course_Config'!$H$2:$H$7,AU4)=1,SUM(SUMIFS('Student_Marks'!$K$2:$K$49,'Student_Marks'!$B$2:$B$49,A4,'Student_Marks'!$F$2:$F$49,C4,'Student_Marks'!$D$2:$D$49,AP4,'Student_Marks'!$E$2:$E$49,AK4,'Student_Marks'!$H$2:$H$49,AI4,'Student_Marks'!$I$2:$I$49,AJ4,'Student_Marks'!$J$2:$J$49,"CA1"),SUMIFS('Student_Marks'!$K$2:$K$49,'Student_Marks'!$B$2:$B$49,A4,'Student_Marks'!$F$2:$F$49,C4,'Student_Marks'!$D$2:$D$49,AP4,'Student_Marks'!$E$2:$E$49,AK4,'Student_Marks'!$H$2:$H$49,AI4,'Student_Marks'!$I$2:$I$49,AJ4,'Student_Marks'!$J$2:$J$49,"CA2"),SUMIFS('Student_Marks'!$K$2:$K$49,'Student_Marks'!$B$2:$B$49,A4,'Student_Marks'!$F$2:$F$49,C4,'Student_Marks'!$D$2:$D$49,AP4,'Student_Marks'!$E$2:$E$49,AK4,'Student_Marks'!$H$2:$H$49,AI4,'Student_Marks'!$I$2:$I$49,AJ4,'Student_Marks'!$J$2:$J$49,"CA3")),0)+IF(INDEX('Course_Config'!$I$2:$I$7,AU4)=1,SUM(SUMIFS('Student_Marks'!$L$2:$L$49,'Student_Marks'!$B$2:$B$49,A4,'Student_Marks'!$F$2:$F$49,C4,'Student_Marks'!$D$2:$D$49,AP4,'Student_Marks'!$E$2:$E$49,AK4,'Student_Marks'!$H$2:$H$49,AI4,'Student_Marks'!$I$2:$I$49,AJ4,'Student_Marks'!$J$2:$J$49,"CA1"),SUMIFS('Student_Marks'!$L$2:$L$49,'Student_Marks'!$B$2:$B$49,A4,'Student_Marks'!$F$2:$F$49,C4,'Student_Marks'!$D$2:$D$49,AP4,'Student_Marks'!$E$2:$E$49,AK4,'Student_Marks'!$H$2:$H$49,AI4,'Student_Marks'!$I$2:$I$49,AJ4,'Student_Marks'!$J$2:$J$49,"CA2"),SUMIFS('Student_Marks'!$L$2:$L$49,'Student_Marks'!$B$2:$B$49,A4,'Student_Marks'!$F$2:$F$49,C4,'Student_Marks'!$D$2:$D$49,AP4,'Student_Marks'!$E$2:$E$49,AK4,'Student_Marks'!$H$2:$H$49,AI4,'Student_Marks'!$I$2:$I$49,AJ4,'Student_Marks'!$J$2:$J$49,"CA3")),0)+IF(INDEX('Course_Config'!$J$2:$J$7,AU4)=1,SUM(SUMIFS('Student_Marks'!$M$2:$M$49,'Student_Marks'!$B$2:$B$49,A4,'Student_Marks'!$F$2:$F$49,C4,'Student_Marks'!$D$2:$D$49,AP4,'Student_Marks'!$E$2:$E$49,AK4,'Student_Marks'!$H$2:$H$49,AI4,'Student_Marks'!$I$2:$I$49,AJ4,'Student_Marks'!$J$2:$J$49,"CA1"),SUMIFS('Student_Marks'!$M$2:$M$49,'Student_Marks'!$B$2:$B$49,A4,'Student_Marks'!$F$2:$F$49,C4,'Student_Marks'!$D$2:$D$49,AP4,'Student_Marks'!$E$2:$E$49,AK4,'Student_Marks'!$H$2:$H$49,AI4,'Student_Marks'!$I$2:$I$49,AJ4,'Student_Marks'!$J$2:$J$49,"CA2"),SUMIFS('Student_Marks'!$M$2:$M$49,'Student_Marks'!$B$2:$B$49,A4,'Student_Marks'!$F$2:$F$49,C4,'Student_Marks'!$D$2:$D$49,AP4,'Student_Marks'!$E$2:$E$49,AK4,'Student_Marks'!$H$2:$H$49,AI4,'Student_Marks'!$I$2:$I$49,AJ4,'Student_Marks'!$J$2:$J$49,"CA3")),0)</f>
        <v>24</v>
      </c>
      <c r="H4" s="9" t="n">
        <f>IF(F4=0,0,G4/F4*100)</f>
        <v>80</v>
      </c>
      <c r="I4" s="9" t="n">
        <f>IF(INDEX('Course_Config'!$AH$2:$AH$7,AU4)=1,ROUNDUP(F4*INDEX('Course_Config'!$AF$2:$AF$7,AU4)/100,0),F4*INDEX('Course_Config'!$AF$2:$AF$7,AU4)/100)</f>
        <v>12</v>
      </c>
      <c r="J4" s="9" t="str">
        <f>IF((IF(INDEX('Course_Config'!$H$2:$H$7,AU4)=1,COUNTIFS('Student_Marks'!$B$2:$B$49,A4,'Student_Marks'!$F$2:$F$49,C4,'Student_Marks'!$D$2:$D$49,AP4,'Student_Marks'!$E$2:$E$49,AK4,'Student_Marks'!$H$2:$H$49,AI4,'Student_Marks'!$I$2:$I$49,AJ4,'Student_Marks'!$J$2:$J$49,"CA1",'Student_Marks'!$K$2:$K$49,"&gt;=0",'Student_Marks'!$K$2:$K$49,"&lt;&gt;"),0)+IF(INDEX('Course_Config'!$I$2:$I$7,AU4)=1,COUNTIFS('Student_Marks'!$B$2:$B$49,A4,'Student_Marks'!$F$2:$F$49,C4,'Student_Marks'!$D$2:$D$49,AP4,'Student_Marks'!$E$2:$E$49,AK4,'Student_Marks'!$H$2:$H$49,AI4,'Student_Marks'!$I$2:$I$49,AJ4,'Student_Marks'!$J$2:$J$49,"CA1",'Student_Marks'!$L$2:$L$49,"&gt;=0",'Student_Marks'!$L$2:$L$49,"&lt;&gt;"),0)+IF(INDEX('Course_Config'!$J$2:$J$7,AU4)=1,COUNTIFS('Student_Marks'!$B$2:$B$49,A4,'Student_Marks'!$F$2:$F$49,C4,'Student_Marks'!$D$2:$D$49,AP4,'Student_Marks'!$E$2:$E$49,AK4,'Student_Marks'!$H$2:$H$49,AI4,'Student_Marks'!$I$2:$I$49,AJ4,'Student_Marks'!$J$2:$J$49,"CA1",'Student_Marks'!$M$2:$M$49,"&gt;=0",'Student_Marks'!$M$2:$M$49,"&lt;&gt;"),0)+IF(INDEX('Course_Config'!$H$2:$H$7,AU4)=1,COUNTIFS('Student_Marks'!$B$2:$B$49,A4,'Student_Marks'!$F$2:$F$49,C4,'Student_Marks'!$D$2:$D$49,AP4,'Student_Marks'!$E$2:$E$49,AK4,'Student_Marks'!$H$2:$H$49,AI4,'Student_Marks'!$I$2:$I$49,AJ4,'Student_Marks'!$J$2:$J$49,"CA2",'Student_Marks'!$K$2:$K$49,"&gt;=0",'Student_Marks'!$K$2:$K$49,"&lt;&gt;"),0)+IF(INDEX('Course_Config'!$I$2:$I$7,AU4)=1,COUNTIFS('Student_Marks'!$B$2:$B$49,A4,'Student_Marks'!$F$2:$F$49,C4,'Student_Marks'!$D$2:$D$49,AP4,'Student_Marks'!$E$2:$E$49,AK4,'Student_Marks'!$H$2:$H$49,AI4,'Student_Marks'!$I$2:$I$49,AJ4,'Student_Marks'!$J$2:$J$49,"CA2",'Student_Marks'!$L$2:$L$49,"&gt;=0",'Student_Marks'!$L$2:$L$49,"&lt;&gt;"),0)+IF(INDEX('Course_Config'!$J$2:$J$7,AU4)=1,COUNTIFS('Student_Marks'!$B$2:$B$49,A4,'Student_Marks'!$F$2:$F$49,C4,'Student_Marks'!$D$2:$D$49,AP4,'Student_Marks'!$E$2:$E$49,AK4,'Student_Marks'!$H$2:$H$49,AI4,'Student_Marks'!$I$2:$I$49,AJ4,'Student_Marks'!$J$2:$J$49,"CA2",'Student_Marks'!$M$2:$M$49,"&gt;=0",'Student_Marks'!$M$2:$M$49,"&lt;&gt;"),0)+IF(INDEX('Course_Config'!$H$2:$H$7,AU4)=1,COUNTIFS('Student_Marks'!$B$2:$B$49,A4,'Student_Marks'!$F$2:$F$49,C4,'Student_Marks'!$D$2:$D$49,AP4,'Student_Marks'!$E$2:$E$49,AK4,'Student_Marks'!$H$2:$H$49,AI4,'Student_Marks'!$I$2:$I$49,AJ4,'Student_Marks'!$J$2:$J$49,"CA3",'Student_Marks'!$K$2:$K$49,"&gt;=0",'Student_Marks'!$K$2:$K$49,"&lt;&gt;"),0)+IF(INDEX('Course_Config'!$I$2:$I$7,AU4)=1,COUNTIFS('Student_Marks'!$B$2:$B$49,A4,'Student_Marks'!$F$2:$F$49,C4,'Student_Marks'!$D$2:$D$49,AP4,'Student_Marks'!$E$2:$E$49,AK4,'Student_Marks'!$H$2:$H$49,AI4,'Student_Marks'!$I$2:$I$49,AJ4,'Student_Marks'!$J$2:$J$49,"CA3",'Student_Marks'!$L$2:$L$49,"&gt;=0",'Student_Marks'!$L$2:$L$49,"&lt;&gt;"),0)+IF(INDEX('Course_Config'!$J$2:$J$7,AU4)=1,COUNTIFS('Student_Marks'!$B$2:$B$49,A4,'Student_Marks'!$F$2:$F$49,C4,'Student_Marks'!$D$2:$D$49,AP4,'Student_Marks'!$E$2:$E$49,AK4,'Student_Marks'!$H$2:$H$49,AI4,'Student_Marks'!$I$2:$I$49,AJ4,'Student_Marks'!$J$2:$J$49,"CA3",'Student_Marks'!$M$2:$M$49,"&gt;=0",'Student_Marks'!$M$2:$M$49,"&lt;&gt;"),0))&lt;AV4*3/4,"PENDING",IF(G4&lt;I4,"TNG","TG"))</f>
        <v>TG</v>
      </c>
      <c r="K4" s="9" t="n">
        <f>IF(INDEX('Course_Config'!$H$2:$H$7,AU4)=0,"N/A",IF(COUNTIFS('Student_Marks'!$B$2:$B$49,A4,'Student_Marks'!$F$2:$F$49,C4,'Student_Marks'!$D$2:$D$49,AP4,'Student_Marks'!$E$2:$E$49,AK4,'Student_Marks'!$H$2:$H$49,AI4,'Student_Marks'!$I$2:$I$49,AJ4,'Student_Marks'!$J$2:$J$49,"ESE",'Student_Marks'!$K$2:$K$49,"AB")&gt;0,"AB",IF(COUNTIFS('Student_Marks'!$B$2:$B$49,A4,'Student_Marks'!$F$2:$F$49,C4,'Student_Marks'!$D$2:$D$49,AP4,'Student_Marks'!$E$2:$E$49,AK4,'Student_Marks'!$H$2:$H$49,AI4,'Student_Marks'!$I$2:$I$49,AJ4,'Student_Marks'!$J$2:$J$49,"ESE",'Student_Marks'!$K$2:$K$49,"&gt;=0",'Student_Marks'!$K$2:$K$49,"&lt;&gt;")=0,"PENDING",SUMIFS('Student_Marks'!$K$2:$K$49,'Student_Marks'!$B$2:$B$49,A4,'Student_Marks'!$F$2:$F$49,C4,'Student_Marks'!$D$2:$D$49,AP4,'Student_Marks'!$E$2:$E$49,AK4,'Student_Marks'!$H$2:$H$49,AI4,'Student_Marks'!$I$2:$I$49,AJ4,'Student_Marks'!$J$2:$J$49,"ESE"))))</f>
        <v>24</v>
      </c>
      <c r="L4" s="9" t="str">
        <f>IF(INDEX('Course_Config'!$I$2:$I$7,AU4)=0,"N/A",IF(COUNTIFS('Student_Marks'!$B$2:$B$49,A4,'Student_Marks'!$F$2:$F$49,C4,'Student_Marks'!$D$2:$D$49,AP4,'Student_Marks'!$E$2:$E$49,AK4,'Student_Marks'!$H$2:$H$49,AI4,'Student_Marks'!$I$2:$I$49,AJ4,'Student_Marks'!$J$2:$J$49,"ESE",'Student_Marks'!$L$2:$L$49,"AB")&gt;0,"AB",IF(COUNTIFS('Student_Marks'!$B$2:$B$49,A4,'Student_Marks'!$F$2:$F$49,C4,'Student_Marks'!$D$2:$D$49,AP4,'Student_Marks'!$E$2:$E$49,AK4,'Student_Marks'!$H$2:$H$49,AI4,'Student_Marks'!$I$2:$I$49,AJ4,'Student_Marks'!$J$2:$J$49,"ESE",'Student_Marks'!$L$2:$L$49,"&gt;=0",'Student_Marks'!$L$2:$L$49,"&lt;&gt;")=0,"PENDING",SUMIFS('Student_Marks'!$L$2:$L$49,'Student_Marks'!$B$2:$B$49,A4,'Student_Marks'!$F$2:$F$49,C4,'Student_Marks'!$D$2:$D$49,AP4,'Student_Marks'!$E$2:$E$49,AK4,'Student_Marks'!$H$2:$H$49,AI4,'Student_Marks'!$I$2:$I$49,AJ4,'Student_Marks'!$J$2:$J$49,"ESE"))))</f>
        <v>N/A</v>
      </c>
      <c r="M4" s="9" t="str">
        <f>IF(INDEX('Course_Config'!$J$2:$J$7,AU4)=0,"N/A",IF(COUNTIFS('Student_Marks'!$B$2:$B$49,A4,'Student_Marks'!$F$2:$F$49,C4,'Student_Marks'!$D$2:$D$49,AP4,'Student_Marks'!$E$2:$E$49,AK4,'Student_Marks'!$H$2:$H$49,AI4,'Student_Marks'!$I$2:$I$49,AJ4,'Student_Marks'!$J$2:$J$49,"ESE",'Student_Marks'!$M$2:$M$49,"AB")&gt;0,"AB",IF(COUNTIFS('Student_Marks'!$B$2:$B$49,A4,'Student_Marks'!$F$2:$F$49,C4,'Student_Marks'!$D$2:$D$49,AP4,'Student_Marks'!$E$2:$E$49,AK4,'Student_Marks'!$H$2:$H$49,AI4,'Student_Marks'!$I$2:$I$49,AJ4,'Student_Marks'!$J$2:$J$49,"ESE",'Student_Marks'!$M$2:$M$49,"&gt;=0",'Student_Marks'!$M$2:$M$49,"&lt;&gt;")=0,"PENDING",SUMIFS('Student_Marks'!$M$2:$M$49,'Student_Marks'!$B$2:$B$49,A4,'Student_Marks'!$F$2:$F$49,C4,'Student_Marks'!$D$2:$D$49,AP4,'Student_Marks'!$E$2:$E$49,AK4,'Student_Marks'!$H$2:$H$49,AI4,'Student_Marks'!$I$2:$I$49,AJ4,'Student_Marks'!$J$2:$J$49,"ESE"))))</f>
        <v>N/A</v>
      </c>
      <c r="N4" s="9" t="n">
        <f>IF(INDEX('Course_Config'!$H$2:$H$7,AU4)=1,INDEX('Course_Config'!$T$2:$T$7,AU4),0)</f>
        <v>30</v>
      </c>
      <c r="O4" s="9" t="n">
        <f>IF(INDEX('Course_Config'!$I$2:$I$7,AU4)=1,INDEX('Course_Config'!$U$2:$U$7,AU4),0)</f>
        <v>0</v>
      </c>
      <c r="P4" s="9" t="n">
        <f>IF(INDEX('Course_Config'!$J$2:$J$7,AU4)=1,INDEX('Course_Config'!$V$2:$V$7,AU4),0)</f>
        <v>0</v>
      </c>
      <c r="Q4" s="9" t="n">
        <f>SUM(F4,N4:P4)</f>
        <v>60</v>
      </c>
      <c r="R4" s="9" t="n">
        <f>SUM(G4,K4:M4)</f>
        <v>48</v>
      </c>
      <c r="S4" s="11" t="n">
        <f>IF(Q4=0,0,R4/Q4*100)</f>
        <v>80</v>
      </c>
      <c r="T4" s="9" t="n">
        <f>INDEX('Course_Config'!$AG$2:$AG$7,AU4)</f>
        <v>40</v>
      </c>
      <c r="U4" s="9" t="str">
        <f>IF(OR(AR4&lt;&gt;1,AN4&gt;0,AQ4&gt;0),"WITHHELD",IF(J4="TNG","TNG",IF(AL4&lt;AV4,"PENDING",IF(AM4&gt;0,"ABSENT",IF(OR(AO4&gt;0,S4&lt;T4),"FAIL","PASS")))))</f>
        <v>PASS</v>
      </c>
      <c r="V4" s="9" t="n">
        <f>IF(U4="PASS",IF(E4="Architecture",IF(S4&gt;='Grading_Reference'!B11,'Grading_Reference'!D11,IF(S4&gt;='Grading_Reference'!B12,'Grading_Reference'!D12,IF(S4&gt;='Grading_Reference'!B13,'Grading_Reference'!D13,IF(S4&gt;='Grading_Reference'!B14,'Grading_Reference'!D14,IF(S4&gt;='Grading_Reference'!B15,'Grading_Reference'!D15,IF(S4&gt;='Grading_Reference'!B16,'Grading_Reference'!D16,0)))))),IF(S4&gt;='Grading_Reference'!B2,'Grading_Reference'!D2,IF(S4&gt;='Grading_Reference'!B3,'Grading_Reference'!D3,IF(S4&gt;='Grading_Reference'!B4,'Grading_Reference'!D4,IF(S4&gt;='Grading_Reference'!B5,'Grading_Reference'!D5,IF(S4&gt;='Grading_Reference'!B6,'Grading_Reference'!D6,IF(S4&gt;='Grading_Reference'!B7,'Grading_Reference'!D7,IF(S4&gt;='Grading_Reference'!B8,'Grading_Reference'!D8,0)))))))),0)</f>
        <v>8</v>
      </c>
      <c r="W4" s="9" t="n">
        <f>AH4*V4</f>
        <v>16</v>
      </c>
      <c r="X4" s="11" t="n">
        <f>'SGPA'!F2</f>
        <v>8</v>
      </c>
      <c r="Y4" s="9"/>
      <c r="Z4" s="9" t="n">
        <v>0</v>
      </c>
      <c r="AA4" s="9" t="str">
        <f>"NOT_REQUIRED"</f>
        <v>NOT_REQUIRED</v>
      </c>
      <c r="AB4" s="9" t="str">
        <v>NOT_REQUIRED</v>
      </c>
      <c r="AC4" s="9" t="str">
        <f>IF(J4="TNG","TNG",U4)</f>
        <v>PASS</v>
      </c>
      <c r="AD4" s="9" t="n">
        <f>V4</f>
        <v>8</v>
      </c>
      <c r="AE4" s="9" t="n">
        <f>V4</f>
        <v>8</v>
      </c>
      <c r="AF4" s="9" t="n">
        <f>V4</f>
        <v>8</v>
      </c>
      <c r="AG4" s="9" t="str">
        <f>IF(U4="PASS",IF(E4="Architecture",IF(S4&gt;='Grading_Reference'!B11,'Grading_Reference'!E11,IF(S4&gt;='Grading_Reference'!B12,'Grading_Reference'!E12,IF(S4&gt;='Grading_Reference'!B13,'Grading_Reference'!E13,IF(S4&gt;='Grading_Reference'!B14,'Grading_Reference'!E14,IF(S4&gt;='Grading_Reference'!B15,'Grading_Reference'!E15,IF(S4&gt;='Grading_Reference'!B16,'Grading_Reference'!E16,"F")))))),IF(S4&gt;='Grading_Reference'!B2,'Grading_Reference'!E2,IF(S4&gt;='Grading_Reference'!B3,'Grading_Reference'!E3,IF(S4&gt;='Grading_Reference'!B4,'Grading_Reference'!E4,IF(S4&gt;='Grading_Reference'!B5,'Grading_Reference'!E5,IF(S4&gt;='Grading_Reference'!B6,'Grading_Reference'!E6,IF(S4&gt;='Grading_Reference'!B7,'Grading_Reference'!E7,IF(S4&gt;='Grading_Reference'!B8,'Grading_Reference'!E8,"F")))))))),IF(U4="ABSENT","Ab",IF(U4="FAIL","F",U4)))</f>
        <v>A</v>
      </c>
      <c r="AH4" s="9" t="n">
        <f>INDEX('Course_Config'!$F$2:$F$7,AU4)</f>
        <v>2</v>
      </c>
      <c r="AI4" s="9" t="str">
        <v>2026-27</v>
      </c>
      <c r="AJ4" s="9" t="str">
        <v>Oct 2026 TEST</v>
      </c>
      <c r="AK4" s="9" t="str">
        <v>I</v>
      </c>
      <c r="AL4" s="9" t="n">
        <f>IF(INDEX('Course_Config'!$H$2:$H$7,AU4)=1,COUNTIFS('Student_Marks'!$B$2:$B$49,A4,'Student_Marks'!$F$2:$F$49,C4,'Student_Marks'!$D$2:$D$49,AP4,'Student_Marks'!$E$2:$E$49,AK4,'Student_Marks'!$H$2:$H$49,AI4,'Student_Marks'!$I$2:$I$49,AJ4,'Student_Marks'!$K$2:$K$49,"&gt;=0",'Student_Marks'!$K$2:$K$49,"&lt;&gt;")+COUNTIFS('Student_Marks'!$B$2:$B$49,A4,'Student_Marks'!$F$2:$F$49,C4,'Student_Marks'!$D$2:$D$49,AP4,'Student_Marks'!$E$2:$E$49,AK4,'Student_Marks'!$H$2:$H$49,AI4,'Student_Marks'!$I$2:$I$49,AJ4,'Student_Marks'!$K$2:$K$49,"AB"),0)+IF(INDEX('Course_Config'!$I$2:$I$7,AU4)=1,COUNTIFS('Student_Marks'!$B$2:$B$49,A4,'Student_Marks'!$F$2:$F$49,C4,'Student_Marks'!$D$2:$D$49,AP4,'Student_Marks'!$E$2:$E$49,AK4,'Student_Marks'!$H$2:$H$49,AI4,'Student_Marks'!$I$2:$I$49,AJ4,'Student_Marks'!$L$2:$L$49,"&gt;=0",'Student_Marks'!$L$2:$L$49,"&lt;&gt;")+COUNTIFS('Student_Marks'!$B$2:$B$49,A4,'Student_Marks'!$F$2:$F$49,C4,'Student_Marks'!$D$2:$D$49,AP4,'Student_Marks'!$E$2:$E$49,AK4,'Student_Marks'!$H$2:$H$49,AI4,'Student_Marks'!$I$2:$I$49,AJ4,'Student_Marks'!$L$2:$L$49,"AB"),0)+IF(INDEX('Course_Config'!$J$2:$J$7,AU4)=1,COUNTIFS('Student_Marks'!$B$2:$B$49,A4,'Student_Marks'!$F$2:$F$49,C4,'Student_Marks'!$D$2:$D$49,AP4,'Student_Marks'!$E$2:$E$49,AK4,'Student_Marks'!$H$2:$H$49,AI4,'Student_Marks'!$I$2:$I$49,AJ4,'Student_Marks'!$M$2:$M$49,"&gt;=0",'Student_Marks'!$M$2:$M$49,"&lt;&gt;")+COUNTIFS('Student_Marks'!$B$2:$B$49,A4,'Student_Marks'!$F$2:$F$49,C4,'Student_Marks'!$D$2:$D$49,AP4,'Student_Marks'!$E$2:$E$49,AK4,'Student_Marks'!$H$2:$H$49,AI4,'Student_Marks'!$I$2:$I$49,AJ4,'Student_Marks'!$M$2:$M$49,"AB"),0)</f>
        <v>4</v>
      </c>
      <c r="AM4" s="9" t="n">
        <f>IF(INDEX('Course_Config'!$H$2:$H$7,AU4)=1,COUNTIFS('Student_Marks'!$B$2:$B$49,A4,'Student_Marks'!$F$2:$F$49,C4,'Student_Marks'!$D$2:$D$49,AP4,'Student_Marks'!$E$2:$E$49,AK4,'Student_Marks'!$H$2:$H$49,AI4,'Student_Marks'!$I$2:$I$49,AJ4,'Student_Marks'!$K$2:$K$49,"AB"),0)+IF(INDEX('Course_Config'!$I$2:$I$7,AU4)=1,COUNTIFS('Student_Marks'!$B$2:$B$49,A4,'Student_Marks'!$F$2:$F$49,C4,'Student_Marks'!$D$2:$D$49,AP4,'Student_Marks'!$E$2:$E$49,AK4,'Student_Marks'!$H$2:$H$49,AI4,'Student_Marks'!$I$2:$I$49,AJ4,'Student_Marks'!$L$2:$L$49,"AB"),0)+IF(INDEX('Course_Config'!$J$2:$J$7,AU4)=1,COUNTIFS('Student_Marks'!$B$2:$B$49,A4,'Student_Marks'!$F$2:$F$49,C4,'Student_Marks'!$D$2:$D$49,AP4,'Student_Marks'!$E$2:$E$49,AK4,'Student_Marks'!$H$2:$H$49,AI4,'Student_Marks'!$I$2:$I$49,AJ4,'Student_Marks'!$M$2:$M$49,"AB"),0)</f>
        <v>0</v>
      </c>
      <c r="AN4" s="9" t="n">
        <f>COUNTIFS('Student_Marks'!$B$2:$B$49,A4,'Student_Marks'!$F$2:$F$49,C4,'Student_Marks'!$D$2:$D$49,AP4,'Student_Marks'!$E$2:$E$49,AK4,'Student_Marks'!$H$2:$H$49,AI4,'Student_Marks'!$I$2:$I$49,AJ4,'Student_Marks'!$Q$2:$Q$49,"INVALID")</f>
        <v>0</v>
      </c>
      <c r="AO4" s="9" t="n">
        <f>IF(AND(N4&gt;0,ISNUMBER(K4)),IF(K4&lt;IF(INDEX('Course_Config'!$AH$2:$AH$7,AU4)=1,ROUNDUP(N4*INDEX('Course_Config'!$AC$2:$AC$7,AU4)/100,0),N4*INDEX('Course_Config'!$AC$2:$AC$7,AU4)/100),1,0),0)+IF(AND(O4&gt;0,ISNUMBER(L4)),IF(L4&lt;IF(INDEX('Course_Config'!$AH$2:$AH$7,AU4)=1,ROUNDUP(O4*INDEX('Course_Config'!$AD$2:$AD$7,AU4)/100,0),O4*INDEX('Course_Config'!$AD$2:$AD$7,AU4)/100),1,0),0)+IF(AND(P4&gt;0,ISNUMBER(M4)),IF(M4&lt;IF(INDEX('Course_Config'!$AH$2:$AH$7,AU4)=1,ROUNDUP(P4*INDEX('Course_Config'!$AE$2:$AE$7,AU4)/100,0),P4*INDEX('Course_Config'!$AE$2:$AE$7,AU4)/100),1,0),0)</f>
        <v>0</v>
      </c>
      <c r="AP4" s="9" t="str">
        <v>[TEST] B.Tech. Construction Engineering &amp; Management</v>
      </c>
      <c r="AQ4" s="9" t="n">
        <f>IF(COUNTIFS('Student_Marks'!$B$2:$B$49,A4,'Student_Marks'!$F$2:$F$49,C4,'Student_Marks'!$D$2:$D$49,AP4,'Student_Marks'!$E$2:$E$49,AK4,'Student_Marks'!$H$2:$H$49,AI4,'Student_Marks'!$I$2:$I$49,AJ4,'Student_Marks'!$J$2:$J$49,"CA1")&gt;1,1,0)+IF(COUNTIFS('Student_Marks'!$B$2:$B$49,A4,'Student_Marks'!$F$2:$F$49,C4,'Student_Marks'!$D$2:$D$49,AP4,'Student_Marks'!$E$2:$E$49,AK4,'Student_Marks'!$H$2:$H$49,AI4,'Student_Marks'!$I$2:$I$49,AJ4,'Student_Marks'!$J$2:$J$49,"CA2")&gt;1,1,0)+IF(COUNTIFS('Student_Marks'!$B$2:$B$49,A4,'Student_Marks'!$F$2:$F$49,C4,'Student_Marks'!$D$2:$D$49,AP4,'Student_Marks'!$E$2:$E$49,AK4,'Student_Marks'!$H$2:$H$49,AI4,'Student_Marks'!$I$2:$I$49,AJ4,'Student_Marks'!$J$2:$J$49,"CA3")&gt;1,1,0)+IF(COUNTIFS('Student_Marks'!$B$2:$B$49,A4,'Student_Marks'!$F$2:$F$49,C4,'Student_Marks'!$D$2:$D$49,AP4,'Student_Marks'!$E$2:$E$49,AK4,'Student_Marks'!$H$2:$H$49,AI4,'Student_Marks'!$I$2:$I$49,AJ4,'Student_Marks'!$J$2:$J$49,"ESE")&gt;1,1,0)</f>
        <v>0</v>
      </c>
      <c r="AR4" s="9" t="n">
        <f>INDEX('Course_Config'!$AJ$2:$AJ$7,AU4)</f>
        <v>1</v>
      </c>
      <c r="AS4" s="9" t="str">
        <f>IF(J4="TG","ELIGIBLE","NOT_ELIGIBLE")</f>
        <v>ELIGIBLE</v>
      </c>
      <c r="AT4" s="9" t="str">
        <v>TEST-1</v>
      </c>
      <c r="AU4" s="9" t="n">
        <f>SUMIFS('Course_Config'!$AK$2:$AK$7,'Course_Config'!$AA$2:$AA$7,AP4&amp;"|"&amp;C4&amp;"|"&amp;AK4)</f>
        <v>3</v>
      </c>
      <c r="AV4" s="9" t="n">
        <f>4*SUM(INDEX('Course_Config'!$H$2:$H$7,AU4),INDEX('Course_Config'!$I$2:$I$7,AU4),INDEX('Course_Config'!$J$2:$J$7,AU4))</f>
        <v>4</v>
      </c>
    </row>
    <row r="5">
      <c r="A5" s="9" t="str">
        <v>TEST1003</v>
      </c>
      <c r="B5" s="9" t="str">
        <v>Test Student 1-03 (TNG)</v>
      </c>
      <c r="C5" s="9" t="str">
        <v>T101</v>
      </c>
      <c r="D5" s="9" t="str">
        <v>Integrated Foundation</v>
      </c>
      <c r="E5" s="9" t="str">
        <f>INDEX('Course_Config'!$E$2:$E$7,AU5)</f>
        <v>Non-Architecture</v>
      </c>
      <c r="F5" s="9" t="n">
        <f>IF(INDEX('Course_Config'!$H$2:$H$7,AU5)=1,SUM(INDEX('Course_Config'!$K$2:$K$7,AU5),INDEX('Course_Config'!$L$2:$L$7,AU5),INDEX('Course_Config'!$M$2:$M$7,AU5)),0)+IF(INDEX('Course_Config'!$I$2:$I$7,AU5)=1,SUM(INDEX('Course_Config'!$N$2:$N$7,AU5),INDEX('Course_Config'!$O$2:$O$7,AU5),INDEX('Course_Config'!$P$2:$P$7,AU5)),0)+IF(INDEX('Course_Config'!$J$2:$J$7,AU5)=1,SUM(INDEX('Course_Config'!$Q$2:$Q$7,AU5),INDEX('Course_Config'!$R$2:$R$7,AU5),INDEX('Course_Config'!$S$2:$S$7,AU5)),0)</f>
        <v>90</v>
      </c>
      <c r="G5" s="9" t="n">
        <f>IF(INDEX('Course_Config'!$H$2:$H$7,AU5)=1,SUM(SUMIFS('Student_Marks'!$K$2:$K$49,'Student_Marks'!$B$2:$B$49,A5,'Student_Marks'!$F$2:$F$49,C5,'Student_Marks'!$D$2:$D$49,AP5,'Student_Marks'!$E$2:$E$49,AK5,'Student_Marks'!$H$2:$H$49,AI5,'Student_Marks'!$I$2:$I$49,AJ5,'Student_Marks'!$J$2:$J$49,"CA1"),SUMIFS('Student_Marks'!$K$2:$K$49,'Student_Marks'!$B$2:$B$49,A5,'Student_Marks'!$F$2:$F$49,C5,'Student_Marks'!$D$2:$D$49,AP5,'Student_Marks'!$E$2:$E$49,AK5,'Student_Marks'!$H$2:$H$49,AI5,'Student_Marks'!$I$2:$I$49,AJ5,'Student_Marks'!$J$2:$J$49,"CA2"),SUMIFS('Student_Marks'!$K$2:$K$49,'Student_Marks'!$B$2:$B$49,A5,'Student_Marks'!$F$2:$F$49,C5,'Student_Marks'!$D$2:$D$49,AP5,'Student_Marks'!$E$2:$E$49,AK5,'Student_Marks'!$H$2:$H$49,AI5,'Student_Marks'!$I$2:$I$49,AJ5,'Student_Marks'!$J$2:$J$49,"CA3")),0)+IF(INDEX('Course_Config'!$I$2:$I$7,AU5)=1,SUM(SUMIFS('Student_Marks'!$L$2:$L$49,'Student_Marks'!$B$2:$B$49,A5,'Student_Marks'!$F$2:$F$49,C5,'Student_Marks'!$D$2:$D$49,AP5,'Student_Marks'!$E$2:$E$49,AK5,'Student_Marks'!$H$2:$H$49,AI5,'Student_Marks'!$I$2:$I$49,AJ5,'Student_Marks'!$J$2:$J$49,"CA1"),SUMIFS('Student_Marks'!$L$2:$L$49,'Student_Marks'!$B$2:$B$49,A5,'Student_Marks'!$F$2:$F$49,C5,'Student_Marks'!$D$2:$D$49,AP5,'Student_Marks'!$E$2:$E$49,AK5,'Student_Marks'!$H$2:$H$49,AI5,'Student_Marks'!$I$2:$I$49,AJ5,'Student_Marks'!$J$2:$J$49,"CA2"),SUMIFS('Student_Marks'!$L$2:$L$49,'Student_Marks'!$B$2:$B$49,A5,'Student_Marks'!$F$2:$F$49,C5,'Student_Marks'!$D$2:$D$49,AP5,'Student_Marks'!$E$2:$E$49,AK5,'Student_Marks'!$H$2:$H$49,AI5,'Student_Marks'!$I$2:$I$49,AJ5,'Student_Marks'!$J$2:$J$49,"CA3")),0)+IF(INDEX('Course_Config'!$J$2:$J$7,AU5)=1,SUM(SUMIFS('Student_Marks'!$M$2:$M$49,'Student_Marks'!$B$2:$B$49,A5,'Student_Marks'!$F$2:$F$49,C5,'Student_Marks'!$D$2:$D$49,AP5,'Student_Marks'!$E$2:$E$49,AK5,'Student_Marks'!$H$2:$H$49,AI5,'Student_Marks'!$I$2:$I$49,AJ5,'Student_Marks'!$J$2:$J$49,"CA1"),SUMIFS('Student_Marks'!$M$2:$M$49,'Student_Marks'!$B$2:$B$49,A5,'Student_Marks'!$F$2:$F$49,C5,'Student_Marks'!$D$2:$D$49,AP5,'Student_Marks'!$E$2:$E$49,AK5,'Student_Marks'!$H$2:$H$49,AI5,'Student_Marks'!$I$2:$I$49,AJ5,'Student_Marks'!$J$2:$J$49,"CA2"),SUMIFS('Student_Marks'!$M$2:$M$49,'Student_Marks'!$B$2:$B$49,A5,'Student_Marks'!$F$2:$F$49,C5,'Student_Marks'!$D$2:$D$49,AP5,'Student_Marks'!$E$2:$E$49,AK5,'Student_Marks'!$H$2:$H$49,AI5,'Student_Marks'!$I$2:$I$49,AJ5,'Student_Marks'!$J$2:$J$49,"CA3")),0)</f>
        <v>27</v>
      </c>
      <c r="H5" s="9" t="n">
        <f>IF(F5=0,0,G5/F5*100)</f>
        <v>30</v>
      </c>
      <c r="I5" s="9" t="n">
        <f>IF(INDEX('Course_Config'!$AH$2:$AH$7,AU5)=1,ROUNDUP(F5*INDEX('Course_Config'!$AF$2:$AF$7,AU5)/100,0),F5*INDEX('Course_Config'!$AF$2:$AF$7,AU5)/100)</f>
        <v>36</v>
      </c>
      <c r="J5" s="9" t="str">
        <f>IF((IF(INDEX('Course_Config'!$H$2:$H$7,AU5)=1,COUNTIFS('Student_Marks'!$B$2:$B$49,A5,'Student_Marks'!$F$2:$F$49,C5,'Student_Marks'!$D$2:$D$49,AP5,'Student_Marks'!$E$2:$E$49,AK5,'Student_Marks'!$H$2:$H$49,AI5,'Student_Marks'!$I$2:$I$49,AJ5,'Student_Marks'!$J$2:$J$49,"CA1",'Student_Marks'!$K$2:$K$49,"&gt;=0",'Student_Marks'!$K$2:$K$49,"&lt;&gt;"),0)+IF(INDEX('Course_Config'!$I$2:$I$7,AU5)=1,COUNTIFS('Student_Marks'!$B$2:$B$49,A5,'Student_Marks'!$F$2:$F$49,C5,'Student_Marks'!$D$2:$D$49,AP5,'Student_Marks'!$E$2:$E$49,AK5,'Student_Marks'!$H$2:$H$49,AI5,'Student_Marks'!$I$2:$I$49,AJ5,'Student_Marks'!$J$2:$J$49,"CA1",'Student_Marks'!$L$2:$L$49,"&gt;=0",'Student_Marks'!$L$2:$L$49,"&lt;&gt;"),0)+IF(INDEX('Course_Config'!$J$2:$J$7,AU5)=1,COUNTIFS('Student_Marks'!$B$2:$B$49,A5,'Student_Marks'!$F$2:$F$49,C5,'Student_Marks'!$D$2:$D$49,AP5,'Student_Marks'!$E$2:$E$49,AK5,'Student_Marks'!$H$2:$H$49,AI5,'Student_Marks'!$I$2:$I$49,AJ5,'Student_Marks'!$J$2:$J$49,"CA1",'Student_Marks'!$M$2:$M$49,"&gt;=0",'Student_Marks'!$M$2:$M$49,"&lt;&gt;"),0)+IF(INDEX('Course_Config'!$H$2:$H$7,AU5)=1,COUNTIFS('Student_Marks'!$B$2:$B$49,A5,'Student_Marks'!$F$2:$F$49,C5,'Student_Marks'!$D$2:$D$49,AP5,'Student_Marks'!$E$2:$E$49,AK5,'Student_Marks'!$H$2:$H$49,AI5,'Student_Marks'!$I$2:$I$49,AJ5,'Student_Marks'!$J$2:$J$49,"CA2",'Student_Marks'!$K$2:$K$49,"&gt;=0",'Student_Marks'!$K$2:$K$49,"&lt;&gt;"),0)+IF(INDEX('Course_Config'!$I$2:$I$7,AU5)=1,COUNTIFS('Student_Marks'!$B$2:$B$49,A5,'Student_Marks'!$F$2:$F$49,C5,'Student_Marks'!$D$2:$D$49,AP5,'Student_Marks'!$E$2:$E$49,AK5,'Student_Marks'!$H$2:$H$49,AI5,'Student_Marks'!$I$2:$I$49,AJ5,'Student_Marks'!$J$2:$J$49,"CA2",'Student_Marks'!$L$2:$L$49,"&gt;=0",'Student_Marks'!$L$2:$L$49,"&lt;&gt;"),0)+IF(INDEX('Course_Config'!$J$2:$J$7,AU5)=1,COUNTIFS('Student_Marks'!$B$2:$B$49,A5,'Student_Marks'!$F$2:$F$49,C5,'Student_Marks'!$D$2:$D$49,AP5,'Student_Marks'!$E$2:$E$49,AK5,'Student_Marks'!$H$2:$H$49,AI5,'Student_Marks'!$I$2:$I$49,AJ5,'Student_Marks'!$J$2:$J$49,"CA2",'Student_Marks'!$M$2:$M$49,"&gt;=0",'Student_Marks'!$M$2:$M$49,"&lt;&gt;"),0)+IF(INDEX('Course_Config'!$H$2:$H$7,AU5)=1,COUNTIFS('Student_Marks'!$B$2:$B$49,A5,'Student_Marks'!$F$2:$F$49,C5,'Student_Marks'!$D$2:$D$49,AP5,'Student_Marks'!$E$2:$E$49,AK5,'Student_Marks'!$H$2:$H$49,AI5,'Student_Marks'!$I$2:$I$49,AJ5,'Student_Marks'!$J$2:$J$49,"CA3",'Student_Marks'!$K$2:$K$49,"&gt;=0",'Student_Marks'!$K$2:$K$49,"&lt;&gt;"),0)+IF(INDEX('Course_Config'!$I$2:$I$7,AU5)=1,COUNTIFS('Student_Marks'!$B$2:$B$49,A5,'Student_Marks'!$F$2:$F$49,C5,'Student_Marks'!$D$2:$D$49,AP5,'Student_Marks'!$E$2:$E$49,AK5,'Student_Marks'!$H$2:$H$49,AI5,'Student_Marks'!$I$2:$I$49,AJ5,'Student_Marks'!$J$2:$J$49,"CA3",'Student_Marks'!$L$2:$L$49,"&gt;=0",'Student_Marks'!$L$2:$L$49,"&lt;&gt;"),0)+IF(INDEX('Course_Config'!$J$2:$J$7,AU5)=1,COUNTIFS('Student_Marks'!$B$2:$B$49,A5,'Student_Marks'!$F$2:$F$49,C5,'Student_Marks'!$D$2:$D$49,AP5,'Student_Marks'!$E$2:$E$49,AK5,'Student_Marks'!$H$2:$H$49,AI5,'Student_Marks'!$I$2:$I$49,AJ5,'Student_Marks'!$J$2:$J$49,"CA3",'Student_Marks'!$M$2:$M$49,"&gt;=0",'Student_Marks'!$M$2:$M$49,"&lt;&gt;"),0))&lt;AV5*3/4,"PENDING",IF(G5&lt;I5,"TNG","TG"))</f>
        <v>TNG</v>
      </c>
      <c r="K5" s="9" t="str">
        <f>IF(INDEX('Course_Config'!$H$2:$H$7,AU5)=0,"N/A",IF(COUNTIFS('Student_Marks'!$B$2:$B$49,A5,'Student_Marks'!$F$2:$F$49,C5,'Student_Marks'!$D$2:$D$49,AP5,'Student_Marks'!$E$2:$E$49,AK5,'Student_Marks'!$H$2:$H$49,AI5,'Student_Marks'!$I$2:$I$49,AJ5,'Student_Marks'!$J$2:$J$49,"ESE",'Student_Marks'!$K$2:$K$49,"AB")&gt;0,"AB",IF(COUNTIFS('Student_Marks'!$B$2:$B$49,A5,'Student_Marks'!$F$2:$F$49,C5,'Student_Marks'!$D$2:$D$49,AP5,'Student_Marks'!$E$2:$E$49,AK5,'Student_Marks'!$H$2:$H$49,AI5,'Student_Marks'!$I$2:$I$49,AJ5,'Student_Marks'!$J$2:$J$49,"ESE",'Student_Marks'!$K$2:$K$49,"&gt;=0",'Student_Marks'!$K$2:$K$49,"&lt;&gt;")=0,"PENDING",SUMIFS('Student_Marks'!$K$2:$K$49,'Student_Marks'!$B$2:$B$49,A5,'Student_Marks'!$F$2:$F$49,C5,'Student_Marks'!$D$2:$D$49,AP5,'Student_Marks'!$E$2:$E$49,AK5,'Student_Marks'!$H$2:$H$49,AI5,'Student_Marks'!$I$2:$I$49,AJ5,'Student_Marks'!$J$2:$J$49,"ESE"))))</f>
        <v>PENDING</v>
      </c>
      <c r="L5" s="9" t="str">
        <f>IF(INDEX('Course_Config'!$I$2:$I$7,AU5)=0,"N/A",IF(COUNTIFS('Student_Marks'!$B$2:$B$49,A5,'Student_Marks'!$F$2:$F$49,C5,'Student_Marks'!$D$2:$D$49,AP5,'Student_Marks'!$E$2:$E$49,AK5,'Student_Marks'!$H$2:$H$49,AI5,'Student_Marks'!$I$2:$I$49,AJ5,'Student_Marks'!$J$2:$J$49,"ESE",'Student_Marks'!$L$2:$L$49,"AB")&gt;0,"AB",IF(COUNTIFS('Student_Marks'!$B$2:$B$49,A5,'Student_Marks'!$F$2:$F$49,C5,'Student_Marks'!$D$2:$D$49,AP5,'Student_Marks'!$E$2:$E$49,AK5,'Student_Marks'!$H$2:$H$49,AI5,'Student_Marks'!$I$2:$I$49,AJ5,'Student_Marks'!$J$2:$J$49,"ESE",'Student_Marks'!$L$2:$L$49,"&gt;=0",'Student_Marks'!$L$2:$L$49,"&lt;&gt;")=0,"PENDING",SUMIFS('Student_Marks'!$L$2:$L$49,'Student_Marks'!$B$2:$B$49,A5,'Student_Marks'!$F$2:$F$49,C5,'Student_Marks'!$D$2:$D$49,AP5,'Student_Marks'!$E$2:$E$49,AK5,'Student_Marks'!$H$2:$H$49,AI5,'Student_Marks'!$I$2:$I$49,AJ5,'Student_Marks'!$J$2:$J$49,"ESE"))))</f>
        <v>PENDING</v>
      </c>
      <c r="M5" s="9" t="str">
        <f>IF(INDEX('Course_Config'!$J$2:$J$7,AU5)=0,"N/A",IF(COUNTIFS('Student_Marks'!$B$2:$B$49,A5,'Student_Marks'!$F$2:$F$49,C5,'Student_Marks'!$D$2:$D$49,AP5,'Student_Marks'!$E$2:$E$49,AK5,'Student_Marks'!$H$2:$H$49,AI5,'Student_Marks'!$I$2:$I$49,AJ5,'Student_Marks'!$J$2:$J$49,"ESE",'Student_Marks'!$M$2:$M$49,"AB")&gt;0,"AB",IF(COUNTIFS('Student_Marks'!$B$2:$B$49,A5,'Student_Marks'!$F$2:$F$49,C5,'Student_Marks'!$D$2:$D$49,AP5,'Student_Marks'!$E$2:$E$49,AK5,'Student_Marks'!$H$2:$H$49,AI5,'Student_Marks'!$I$2:$I$49,AJ5,'Student_Marks'!$J$2:$J$49,"ESE",'Student_Marks'!$M$2:$M$49,"&gt;=0",'Student_Marks'!$M$2:$M$49,"&lt;&gt;")=0,"PENDING",SUMIFS('Student_Marks'!$M$2:$M$49,'Student_Marks'!$B$2:$B$49,A5,'Student_Marks'!$F$2:$F$49,C5,'Student_Marks'!$D$2:$D$49,AP5,'Student_Marks'!$E$2:$E$49,AK5,'Student_Marks'!$H$2:$H$49,AI5,'Student_Marks'!$I$2:$I$49,AJ5,'Student_Marks'!$J$2:$J$49,"ESE"))))</f>
        <v>PENDING</v>
      </c>
      <c r="N5" s="9" t="n">
        <f>IF(INDEX('Course_Config'!$H$2:$H$7,AU5)=1,INDEX('Course_Config'!$T$2:$T$7,AU5),0)</f>
        <v>30</v>
      </c>
      <c r="O5" s="9" t="n">
        <f>IF(INDEX('Course_Config'!$I$2:$I$7,AU5)=1,INDEX('Course_Config'!$U$2:$U$7,AU5),0)</f>
        <v>30</v>
      </c>
      <c r="P5" s="9" t="n">
        <f>IF(INDEX('Course_Config'!$J$2:$J$7,AU5)=1,INDEX('Course_Config'!$V$2:$V$7,AU5),0)</f>
        <v>30</v>
      </c>
      <c r="Q5" s="9" t="n">
        <f>SUM(F5,N5:P5)</f>
        <v>180</v>
      </c>
      <c r="R5" s="9" t="n">
        <f>SUM(G5,K5:M5)</f>
        <v>27</v>
      </c>
      <c r="S5" s="11" t="n">
        <f>IF(Q5=0,0,R5/Q5*100)</f>
        <v>15</v>
      </c>
      <c r="T5" s="9" t="n">
        <f>INDEX('Course_Config'!$AG$2:$AG$7,AU5)</f>
        <v>40</v>
      </c>
      <c r="U5" s="9" t="str">
        <f>IF(OR(AR5&lt;&gt;1,AN5&gt;0,AQ5&gt;0),"WITHHELD",IF(J5="TNG","TNG",IF(AL5&lt;AV5,"PENDING",IF(AM5&gt;0,"ABSENT",IF(OR(AO5&gt;0,S5&lt;T5),"FAIL","PASS")))))</f>
        <v>TNG</v>
      </c>
      <c r="V5" s="9" t="n">
        <f>IF(U5="PASS",IF(E5="Architecture",IF(S5&gt;='Grading_Reference'!B11,'Grading_Reference'!D11,IF(S5&gt;='Grading_Reference'!B12,'Grading_Reference'!D12,IF(S5&gt;='Grading_Reference'!B13,'Grading_Reference'!D13,IF(S5&gt;='Grading_Reference'!B14,'Grading_Reference'!D14,IF(S5&gt;='Grading_Reference'!B15,'Grading_Reference'!D15,IF(S5&gt;='Grading_Reference'!B16,'Grading_Reference'!D16,0)))))),IF(S5&gt;='Grading_Reference'!B2,'Grading_Reference'!D2,IF(S5&gt;='Grading_Reference'!B3,'Grading_Reference'!D3,IF(S5&gt;='Grading_Reference'!B4,'Grading_Reference'!D4,IF(S5&gt;='Grading_Reference'!B5,'Grading_Reference'!D5,IF(S5&gt;='Grading_Reference'!B6,'Grading_Reference'!D6,IF(S5&gt;='Grading_Reference'!B7,'Grading_Reference'!D7,IF(S5&gt;='Grading_Reference'!B8,'Grading_Reference'!D8,0)))))))),0)</f>
        <v>0</v>
      </c>
      <c r="W5" s="9" t="n">
        <f>AH5*V5</f>
        <v>0</v>
      </c>
      <c r="X5" s="11" t="str">
        <f>'SGPA'!F3</f>
        <v>WITHHELD</v>
      </c>
      <c r="Y5" s="9"/>
      <c r="Z5" s="9" t="n">
        <v>0</v>
      </c>
      <c r="AA5" s="9" t="str">
        <f>"NOT_REQUIRED"</f>
        <v>NOT_REQUIRED</v>
      </c>
      <c r="AB5" s="9" t="str">
        <v>NOT_REQUIRED</v>
      </c>
      <c r="AC5" s="9" t="str">
        <f>IF(J5="TNG","TNG",U5)</f>
        <v>TNG</v>
      </c>
      <c r="AD5" s="9" t="n">
        <f>V5</f>
        <v>0</v>
      </c>
      <c r="AE5" s="9" t="n">
        <f>V5</f>
        <v>0</v>
      </c>
      <c r="AF5" s="9" t="n">
        <f>V5</f>
        <v>0</v>
      </c>
      <c r="AG5" s="9" t="str">
        <f>IF(U5="PASS",IF(E5="Architecture",IF(S5&gt;='Grading_Reference'!B11,'Grading_Reference'!E11,IF(S5&gt;='Grading_Reference'!B12,'Grading_Reference'!E12,IF(S5&gt;='Grading_Reference'!B13,'Grading_Reference'!E13,IF(S5&gt;='Grading_Reference'!B14,'Grading_Reference'!E14,IF(S5&gt;='Grading_Reference'!B15,'Grading_Reference'!E15,IF(S5&gt;='Grading_Reference'!B16,'Grading_Reference'!E16,"F")))))),IF(S5&gt;='Grading_Reference'!B2,'Grading_Reference'!E2,IF(S5&gt;='Grading_Reference'!B3,'Grading_Reference'!E3,IF(S5&gt;='Grading_Reference'!B4,'Grading_Reference'!E4,IF(S5&gt;='Grading_Reference'!B5,'Grading_Reference'!E5,IF(S5&gt;='Grading_Reference'!B6,'Grading_Reference'!E6,IF(S5&gt;='Grading_Reference'!B7,'Grading_Reference'!E7,IF(S5&gt;='Grading_Reference'!B8,'Grading_Reference'!E8,"F")))))))),IF(U5="ABSENT","Ab",IF(U5="FAIL","F",U5)))</f>
        <v>TNG</v>
      </c>
      <c r="AH5" s="9" t="n">
        <f>INDEX('Course_Config'!$F$2:$F$7,AU5)</f>
        <v>4</v>
      </c>
      <c r="AI5" s="9" t="str">
        <v>2026-27</v>
      </c>
      <c r="AJ5" s="9" t="str">
        <v>Oct 2026 TEST</v>
      </c>
      <c r="AK5" s="9" t="str">
        <v>I</v>
      </c>
      <c r="AL5" s="9" t="n">
        <f>IF(INDEX('Course_Config'!$H$2:$H$7,AU5)=1,COUNTIFS('Student_Marks'!$B$2:$B$49,A5,'Student_Marks'!$F$2:$F$49,C5,'Student_Marks'!$D$2:$D$49,AP5,'Student_Marks'!$E$2:$E$49,AK5,'Student_Marks'!$H$2:$H$49,AI5,'Student_Marks'!$I$2:$I$49,AJ5,'Student_Marks'!$K$2:$K$49,"&gt;=0",'Student_Marks'!$K$2:$K$49,"&lt;&gt;")+COUNTIFS('Student_Marks'!$B$2:$B$49,A5,'Student_Marks'!$F$2:$F$49,C5,'Student_Marks'!$D$2:$D$49,AP5,'Student_Marks'!$E$2:$E$49,AK5,'Student_Marks'!$H$2:$H$49,AI5,'Student_Marks'!$I$2:$I$49,AJ5,'Student_Marks'!$K$2:$K$49,"AB"),0)+IF(INDEX('Course_Config'!$I$2:$I$7,AU5)=1,COUNTIFS('Student_Marks'!$B$2:$B$49,A5,'Student_Marks'!$F$2:$F$49,C5,'Student_Marks'!$D$2:$D$49,AP5,'Student_Marks'!$E$2:$E$49,AK5,'Student_Marks'!$H$2:$H$49,AI5,'Student_Marks'!$I$2:$I$49,AJ5,'Student_Marks'!$L$2:$L$49,"&gt;=0",'Student_Marks'!$L$2:$L$49,"&lt;&gt;")+COUNTIFS('Student_Marks'!$B$2:$B$49,A5,'Student_Marks'!$F$2:$F$49,C5,'Student_Marks'!$D$2:$D$49,AP5,'Student_Marks'!$E$2:$E$49,AK5,'Student_Marks'!$H$2:$H$49,AI5,'Student_Marks'!$I$2:$I$49,AJ5,'Student_Marks'!$L$2:$L$49,"AB"),0)+IF(INDEX('Course_Config'!$J$2:$J$7,AU5)=1,COUNTIFS('Student_Marks'!$B$2:$B$49,A5,'Student_Marks'!$F$2:$F$49,C5,'Student_Marks'!$D$2:$D$49,AP5,'Student_Marks'!$E$2:$E$49,AK5,'Student_Marks'!$H$2:$H$49,AI5,'Student_Marks'!$I$2:$I$49,AJ5,'Student_Marks'!$M$2:$M$49,"&gt;=0",'Student_Marks'!$M$2:$M$49,"&lt;&gt;")+COUNTIFS('Student_Marks'!$B$2:$B$49,A5,'Student_Marks'!$F$2:$F$49,C5,'Student_Marks'!$D$2:$D$49,AP5,'Student_Marks'!$E$2:$E$49,AK5,'Student_Marks'!$H$2:$H$49,AI5,'Student_Marks'!$I$2:$I$49,AJ5,'Student_Marks'!$M$2:$M$49,"AB"),0)</f>
        <v>9</v>
      </c>
      <c r="AM5" s="9" t="n">
        <f>IF(INDEX('Course_Config'!$H$2:$H$7,AU5)=1,COUNTIFS('Student_Marks'!$B$2:$B$49,A5,'Student_Marks'!$F$2:$F$49,C5,'Student_Marks'!$D$2:$D$49,AP5,'Student_Marks'!$E$2:$E$49,AK5,'Student_Marks'!$H$2:$H$49,AI5,'Student_Marks'!$I$2:$I$49,AJ5,'Student_Marks'!$K$2:$K$49,"AB"),0)+IF(INDEX('Course_Config'!$I$2:$I$7,AU5)=1,COUNTIFS('Student_Marks'!$B$2:$B$49,A5,'Student_Marks'!$F$2:$F$49,C5,'Student_Marks'!$D$2:$D$49,AP5,'Student_Marks'!$E$2:$E$49,AK5,'Student_Marks'!$H$2:$H$49,AI5,'Student_Marks'!$I$2:$I$49,AJ5,'Student_Marks'!$L$2:$L$49,"AB"),0)+IF(INDEX('Course_Config'!$J$2:$J$7,AU5)=1,COUNTIFS('Student_Marks'!$B$2:$B$49,A5,'Student_Marks'!$F$2:$F$49,C5,'Student_Marks'!$D$2:$D$49,AP5,'Student_Marks'!$E$2:$E$49,AK5,'Student_Marks'!$H$2:$H$49,AI5,'Student_Marks'!$I$2:$I$49,AJ5,'Student_Marks'!$M$2:$M$49,"AB"),0)</f>
        <v>0</v>
      </c>
      <c r="AN5" s="9" t="n">
        <f>COUNTIFS('Student_Marks'!$B$2:$B$49,A5,'Student_Marks'!$F$2:$F$49,C5,'Student_Marks'!$D$2:$D$49,AP5,'Student_Marks'!$E$2:$E$49,AK5,'Student_Marks'!$H$2:$H$49,AI5,'Student_Marks'!$I$2:$I$49,AJ5,'Student_Marks'!$Q$2:$Q$49,"INVALID")</f>
        <v>0</v>
      </c>
      <c r="AO5" s="9" t="n">
        <f>IF(AND(N5&gt;0,ISNUMBER(K5)),IF(K5&lt;IF(INDEX('Course_Config'!$AH$2:$AH$7,AU5)=1,ROUNDUP(N5*INDEX('Course_Config'!$AC$2:$AC$7,AU5)/100,0),N5*INDEX('Course_Config'!$AC$2:$AC$7,AU5)/100),1,0),0)+IF(AND(O5&gt;0,ISNUMBER(L5)),IF(L5&lt;IF(INDEX('Course_Config'!$AH$2:$AH$7,AU5)=1,ROUNDUP(O5*INDEX('Course_Config'!$AD$2:$AD$7,AU5)/100,0),O5*INDEX('Course_Config'!$AD$2:$AD$7,AU5)/100),1,0),0)+IF(AND(P5&gt;0,ISNUMBER(M5)),IF(M5&lt;IF(INDEX('Course_Config'!$AH$2:$AH$7,AU5)=1,ROUNDUP(P5*INDEX('Course_Config'!$AE$2:$AE$7,AU5)/100,0),P5*INDEX('Course_Config'!$AE$2:$AE$7,AU5)/100),1,0),0)</f>
        <v>0</v>
      </c>
      <c r="AP5" s="9" t="str">
        <v>[TEST] B.Tech. Construction Engineering &amp; Management</v>
      </c>
      <c r="AQ5" s="9" t="n">
        <f>IF(COUNTIFS('Student_Marks'!$B$2:$B$49,A5,'Student_Marks'!$F$2:$F$49,C5,'Student_Marks'!$D$2:$D$49,AP5,'Student_Marks'!$E$2:$E$49,AK5,'Student_Marks'!$H$2:$H$49,AI5,'Student_Marks'!$I$2:$I$49,AJ5,'Student_Marks'!$J$2:$J$49,"CA1")&gt;1,1,0)+IF(COUNTIFS('Student_Marks'!$B$2:$B$49,A5,'Student_Marks'!$F$2:$F$49,C5,'Student_Marks'!$D$2:$D$49,AP5,'Student_Marks'!$E$2:$E$49,AK5,'Student_Marks'!$H$2:$H$49,AI5,'Student_Marks'!$I$2:$I$49,AJ5,'Student_Marks'!$J$2:$J$49,"CA2")&gt;1,1,0)+IF(COUNTIFS('Student_Marks'!$B$2:$B$49,A5,'Student_Marks'!$F$2:$F$49,C5,'Student_Marks'!$D$2:$D$49,AP5,'Student_Marks'!$E$2:$E$49,AK5,'Student_Marks'!$H$2:$H$49,AI5,'Student_Marks'!$I$2:$I$49,AJ5,'Student_Marks'!$J$2:$J$49,"CA3")&gt;1,1,0)+IF(COUNTIFS('Student_Marks'!$B$2:$B$49,A5,'Student_Marks'!$F$2:$F$49,C5,'Student_Marks'!$D$2:$D$49,AP5,'Student_Marks'!$E$2:$E$49,AK5,'Student_Marks'!$H$2:$H$49,AI5,'Student_Marks'!$I$2:$I$49,AJ5,'Student_Marks'!$J$2:$J$49,"ESE")&gt;1,1,0)</f>
        <v>0</v>
      </c>
      <c r="AR5" s="9" t="n">
        <f>INDEX('Course_Config'!$AJ$2:$AJ$7,AU5)</f>
        <v>1</v>
      </c>
      <c r="AS5" s="9" t="str">
        <f>IF(J5="TG","ELIGIBLE","NOT_ELIGIBLE")</f>
        <v>NOT_ELIGIBLE</v>
      </c>
      <c r="AT5" s="9" t="str">
        <v>TEST-1</v>
      </c>
      <c r="AU5" s="9" t="n">
        <f>SUMIFS('Course_Config'!$AK$2:$AK$7,'Course_Config'!$AA$2:$AA$7,AP5&amp;"|"&amp;C5&amp;"|"&amp;AK5)</f>
        <v>1</v>
      </c>
      <c r="AV5" s="9" t="n">
        <f>4*SUM(INDEX('Course_Config'!$H$2:$H$7,AU5),INDEX('Course_Config'!$I$2:$I$7,AU5),INDEX('Course_Config'!$J$2:$J$7,AU5))</f>
        <v>12</v>
      </c>
    </row>
    <row r="6">
      <c r="A6" s="9" t="str">
        <v>TEST1003</v>
      </c>
      <c r="B6" s="9" t="str">
        <v>Test Student 1-03 (TNG)</v>
      </c>
      <c r="C6" s="9" t="str">
        <v>T102</v>
      </c>
      <c r="D6" s="9" t="str">
        <v>Applied Studio &amp; Skills</v>
      </c>
      <c r="E6" s="9" t="str">
        <f>INDEX('Course_Config'!$E$2:$E$7,AU6)</f>
        <v>Non-Architecture</v>
      </c>
      <c r="F6" s="9" t="n">
        <f>IF(INDEX('Course_Config'!$H$2:$H$7,AU6)=1,SUM(INDEX('Course_Config'!$K$2:$K$7,AU6),INDEX('Course_Config'!$L$2:$L$7,AU6),INDEX('Course_Config'!$M$2:$M$7,AU6)),0)+IF(INDEX('Course_Config'!$I$2:$I$7,AU6)=1,SUM(INDEX('Course_Config'!$N$2:$N$7,AU6),INDEX('Course_Config'!$O$2:$O$7,AU6),INDEX('Course_Config'!$P$2:$P$7,AU6)),0)+IF(INDEX('Course_Config'!$J$2:$J$7,AU6)=1,SUM(INDEX('Course_Config'!$Q$2:$Q$7,AU6),INDEX('Course_Config'!$R$2:$R$7,AU6),INDEX('Course_Config'!$S$2:$S$7,AU6)),0)</f>
        <v>60</v>
      </c>
      <c r="G6" s="9" t="n">
        <f>IF(INDEX('Course_Config'!$H$2:$H$7,AU6)=1,SUM(SUMIFS('Student_Marks'!$K$2:$K$49,'Student_Marks'!$B$2:$B$49,A6,'Student_Marks'!$F$2:$F$49,C6,'Student_Marks'!$D$2:$D$49,AP6,'Student_Marks'!$E$2:$E$49,AK6,'Student_Marks'!$H$2:$H$49,AI6,'Student_Marks'!$I$2:$I$49,AJ6,'Student_Marks'!$J$2:$J$49,"CA1"),SUMIFS('Student_Marks'!$K$2:$K$49,'Student_Marks'!$B$2:$B$49,A6,'Student_Marks'!$F$2:$F$49,C6,'Student_Marks'!$D$2:$D$49,AP6,'Student_Marks'!$E$2:$E$49,AK6,'Student_Marks'!$H$2:$H$49,AI6,'Student_Marks'!$I$2:$I$49,AJ6,'Student_Marks'!$J$2:$J$49,"CA2"),SUMIFS('Student_Marks'!$K$2:$K$49,'Student_Marks'!$B$2:$B$49,A6,'Student_Marks'!$F$2:$F$49,C6,'Student_Marks'!$D$2:$D$49,AP6,'Student_Marks'!$E$2:$E$49,AK6,'Student_Marks'!$H$2:$H$49,AI6,'Student_Marks'!$I$2:$I$49,AJ6,'Student_Marks'!$J$2:$J$49,"CA3")),0)+IF(INDEX('Course_Config'!$I$2:$I$7,AU6)=1,SUM(SUMIFS('Student_Marks'!$L$2:$L$49,'Student_Marks'!$B$2:$B$49,A6,'Student_Marks'!$F$2:$F$49,C6,'Student_Marks'!$D$2:$D$49,AP6,'Student_Marks'!$E$2:$E$49,AK6,'Student_Marks'!$H$2:$H$49,AI6,'Student_Marks'!$I$2:$I$49,AJ6,'Student_Marks'!$J$2:$J$49,"CA1"),SUMIFS('Student_Marks'!$L$2:$L$49,'Student_Marks'!$B$2:$B$49,A6,'Student_Marks'!$F$2:$F$49,C6,'Student_Marks'!$D$2:$D$49,AP6,'Student_Marks'!$E$2:$E$49,AK6,'Student_Marks'!$H$2:$H$49,AI6,'Student_Marks'!$I$2:$I$49,AJ6,'Student_Marks'!$J$2:$J$49,"CA2"),SUMIFS('Student_Marks'!$L$2:$L$49,'Student_Marks'!$B$2:$B$49,A6,'Student_Marks'!$F$2:$F$49,C6,'Student_Marks'!$D$2:$D$49,AP6,'Student_Marks'!$E$2:$E$49,AK6,'Student_Marks'!$H$2:$H$49,AI6,'Student_Marks'!$I$2:$I$49,AJ6,'Student_Marks'!$J$2:$J$49,"CA3")),0)+IF(INDEX('Course_Config'!$J$2:$J$7,AU6)=1,SUM(SUMIFS('Student_Marks'!$M$2:$M$49,'Student_Marks'!$B$2:$B$49,A6,'Student_Marks'!$F$2:$F$49,C6,'Student_Marks'!$D$2:$D$49,AP6,'Student_Marks'!$E$2:$E$49,AK6,'Student_Marks'!$H$2:$H$49,AI6,'Student_Marks'!$I$2:$I$49,AJ6,'Student_Marks'!$J$2:$J$49,"CA1"),SUMIFS('Student_Marks'!$M$2:$M$49,'Student_Marks'!$B$2:$B$49,A6,'Student_Marks'!$F$2:$F$49,C6,'Student_Marks'!$D$2:$D$49,AP6,'Student_Marks'!$E$2:$E$49,AK6,'Student_Marks'!$H$2:$H$49,AI6,'Student_Marks'!$I$2:$I$49,AJ6,'Student_Marks'!$J$2:$J$49,"CA2"),SUMIFS('Student_Marks'!$M$2:$M$49,'Student_Marks'!$B$2:$B$49,A6,'Student_Marks'!$F$2:$F$49,C6,'Student_Marks'!$D$2:$D$49,AP6,'Student_Marks'!$E$2:$E$49,AK6,'Student_Marks'!$H$2:$H$49,AI6,'Student_Marks'!$I$2:$I$49,AJ6,'Student_Marks'!$J$2:$J$49,"CA3")),0)</f>
        <v>18</v>
      </c>
      <c r="H6" s="9" t="n">
        <f>IF(F6=0,0,G6/F6*100)</f>
        <v>30</v>
      </c>
      <c r="I6" s="9" t="n">
        <f>IF(INDEX('Course_Config'!$AH$2:$AH$7,AU6)=1,ROUNDUP(F6*INDEX('Course_Config'!$AF$2:$AF$7,AU6)/100,0),F6*INDEX('Course_Config'!$AF$2:$AF$7,AU6)/100)</f>
        <v>24</v>
      </c>
      <c r="J6" s="9" t="str">
        <f>IF((IF(INDEX('Course_Config'!$H$2:$H$7,AU6)=1,COUNTIFS('Student_Marks'!$B$2:$B$49,A6,'Student_Marks'!$F$2:$F$49,C6,'Student_Marks'!$D$2:$D$49,AP6,'Student_Marks'!$E$2:$E$49,AK6,'Student_Marks'!$H$2:$H$49,AI6,'Student_Marks'!$I$2:$I$49,AJ6,'Student_Marks'!$J$2:$J$49,"CA1",'Student_Marks'!$K$2:$K$49,"&gt;=0",'Student_Marks'!$K$2:$K$49,"&lt;&gt;"),0)+IF(INDEX('Course_Config'!$I$2:$I$7,AU6)=1,COUNTIFS('Student_Marks'!$B$2:$B$49,A6,'Student_Marks'!$F$2:$F$49,C6,'Student_Marks'!$D$2:$D$49,AP6,'Student_Marks'!$E$2:$E$49,AK6,'Student_Marks'!$H$2:$H$49,AI6,'Student_Marks'!$I$2:$I$49,AJ6,'Student_Marks'!$J$2:$J$49,"CA1",'Student_Marks'!$L$2:$L$49,"&gt;=0",'Student_Marks'!$L$2:$L$49,"&lt;&gt;"),0)+IF(INDEX('Course_Config'!$J$2:$J$7,AU6)=1,COUNTIFS('Student_Marks'!$B$2:$B$49,A6,'Student_Marks'!$F$2:$F$49,C6,'Student_Marks'!$D$2:$D$49,AP6,'Student_Marks'!$E$2:$E$49,AK6,'Student_Marks'!$H$2:$H$49,AI6,'Student_Marks'!$I$2:$I$49,AJ6,'Student_Marks'!$J$2:$J$49,"CA1",'Student_Marks'!$M$2:$M$49,"&gt;=0",'Student_Marks'!$M$2:$M$49,"&lt;&gt;"),0)+IF(INDEX('Course_Config'!$H$2:$H$7,AU6)=1,COUNTIFS('Student_Marks'!$B$2:$B$49,A6,'Student_Marks'!$F$2:$F$49,C6,'Student_Marks'!$D$2:$D$49,AP6,'Student_Marks'!$E$2:$E$49,AK6,'Student_Marks'!$H$2:$H$49,AI6,'Student_Marks'!$I$2:$I$49,AJ6,'Student_Marks'!$J$2:$J$49,"CA2",'Student_Marks'!$K$2:$K$49,"&gt;=0",'Student_Marks'!$K$2:$K$49,"&lt;&gt;"),0)+IF(INDEX('Course_Config'!$I$2:$I$7,AU6)=1,COUNTIFS('Student_Marks'!$B$2:$B$49,A6,'Student_Marks'!$F$2:$F$49,C6,'Student_Marks'!$D$2:$D$49,AP6,'Student_Marks'!$E$2:$E$49,AK6,'Student_Marks'!$H$2:$H$49,AI6,'Student_Marks'!$I$2:$I$49,AJ6,'Student_Marks'!$J$2:$J$49,"CA2",'Student_Marks'!$L$2:$L$49,"&gt;=0",'Student_Marks'!$L$2:$L$49,"&lt;&gt;"),0)+IF(INDEX('Course_Config'!$J$2:$J$7,AU6)=1,COUNTIFS('Student_Marks'!$B$2:$B$49,A6,'Student_Marks'!$F$2:$F$49,C6,'Student_Marks'!$D$2:$D$49,AP6,'Student_Marks'!$E$2:$E$49,AK6,'Student_Marks'!$H$2:$H$49,AI6,'Student_Marks'!$I$2:$I$49,AJ6,'Student_Marks'!$J$2:$J$49,"CA2",'Student_Marks'!$M$2:$M$49,"&gt;=0",'Student_Marks'!$M$2:$M$49,"&lt;&gt;"),0)+IF(INDEX('Course_Config'!$H$2:$H$7,AU6)=1,COUNTIFS('Student_Marks'!$B$2:$B$49,A6,'Student_Marks'!$F$2:$F$49,C6,'Student_Marks'!$D$2:$D$49,AP6,'Student_Marks'!$E$2:$E$49,AK6,'Student_Marks'!$H$2:$H$49,AI6,'Student_Marks'!$I$2:$I$49,AJ6,'Student_Marks'!$J$2:$J$49,"CA3",'Student_Marks'!$K$2:$K$49,"&gt;=0",'Student_Marks'!$K$2:$K$49,"&lt;&gt;"),0)+IF(INDEX('Course_Config'!$I$2:$I$7,AU6)=1,COUNTIFS('Student_Marks'!$B$2:$B$49,A6,'Student_Marks'!$F$2:$F$49,C6,'Student_Marks'!$D$2:$D$49,AP6,'Student_Marks'!$E$2:$E$49,AK6,'Student_Marks'!$H$2:$H$49,AI6,'Student_Marks'!$I$2:$I$49,AJ6,'Student_Marks'!$J$2:$J$49,"CA3",'Student_Marks'!$L$2:$L$49,"&gt;=0",'Student_Marks'!$L$2:$L$49,"&lt;&gt;"),0)+IF(INDEX('Course_Config'!$J$2:$J$7,AU6)=1,COUNTIFS('Student_Marks'!$B$2:$B$49,A6,'Student_Marks'!$F$2:$F$49,C6,'Student_Marks'!$D$2:$D$49,AP6,'Student_Marks'!$E$2:$E$49,AK6,'Student_Marks'!$H$2:$H$49,AI6,'Student_Marks'!$I$2:$I$49,AJ6,'Student_Marks'!$J$2:$J$49,"CA3",'Student_Marks'!$M$2:$M$49,"&gt;=0",'Student_Marks'!$M$2:$M$49,"&lt;&gt;"),0))&lt;AV6*3/4,"PENDING",IF(G6&lt;I6,"TNG","TG"))</f>
        <v>TNG</v>
      </c>
      <c r="K6" s="9" t="str">
        <f>IF(INDEX('Course_Config'!$H$2:$H$7,AU6)=0,"N/A",IF(COUNTIFS('Student_Marks'!$B$2:$B$49,A6,'Student_Marks'!$F$2:$F$49,C6,'Student_Marks'!$D$2:$D$49,AP6,'Student_Marks'!$E$2:$E$49,AK6,'Student_Marks'!$H$2:$H$49,AI6,'Student_Marks'!$I$2:$I$49,AJ6,'Student_Marks'!$J$2:$J$49,"ESE",'Student_Marks'!$K$2:$K$49,"AB")&gt;0,"AB",IF(COUNTIFS('Student_Marks'!$B$2:$B$49,A6,'Student_Marks'!$F$2:$F$49,C6,'Student_Marks'!$D$2:$D$49,AP6,'Student_Marks'!$E$2:$E$49,AK6,'Student_Marks'!$H$2:$H$49,AI6,'Student_Marks'!$I$2:$I$49,AJ6,'Student_Marks'!$J$2:$J$49,"ESE",'Student_Marks'!$K$2:$K$49,"&gt;=0",'Student_Marks'!$K$2:$K$49,"&lt;&gt;")=0,"PENDING",SUMIFS('Student_Marks'!$K$2:$K$49,'Student_Marks'!$B$2:$B$49,A6,'Student_Marks'!$F$2:$F$49,C6,'Student_Marks'!$D$2:$D$49,AP6,'Student_Marks'!$E$2:$E$49,AK6,'Student_Marks'!$H$2:$H$49,AI6,'Student_Marks'!$I$2:$I$49,AJ6,'Student_Marks'!$J$2:$J$49,"ESE"))))</f>
        <v>N/A</v>
      </c>
      <c r="L6" s="9" t="str">
        <f>IF(INDEX('Course_Config'!$I$2:$I$7,AU6)=0,"N/A",IF(COUNTIFS('Student_Marks'!$B$2:$B$49,A6,'Student_Marks'!$F$2:$F$49,C6,'Student_Marks'!$D$2:$D$49,AP6,'Student_Marks'!$E$2:$E$49,AK6,'Student_Marks'!$H$2:$H$49,AI6,'Student_Marks'!$I$2:$I$49,AJ6,'Student_Marks'!$J$2:$J$49,"ESE",'Student_Marks'!$L$2:$L$49,"AB")&gt;0,"AB",IF(COUNTIFS('Student_Marks'!$B$2:$B$49,A6,'Student_Marks'!$F$2:$F$49,C6,'Student_Marks'!$D$2:$D$49,AP6,'Student_Marks'!$E$2:$E$49,AK6,'Student_Marks'!$H$2:$H$49,AI6,'Student_Marks'!$I$2:$I$49,AJ6,'Student_Marks'!$J$2:$J$49,"ESE",'Student_Marks'!$L$2:$L$49,"&gt;=0",'Student_Marks'!$L$2:$L$49,"&lt;&gt;")=0,"PENDING",SUMIFS('Student_Marks'!$L$2:$L$49,'Student_Marks'!$B$2:$B$49,A6,'Student_Marks'!$F$2:$F$49,C6,'Student_Marks'!$D$2:$D$49,AP6,'Student_Marks'!$E$2:$E$49,AK6,'Student_Marks'!$H$2:$H$49,AI6,'Student_Marks'!$I$2:$I$49,AJ6,'Student_Marks'!$J$2:$J$49,"ESE"))))</f>
        <v>PENDING</v>
      </c>
      <c r="M6" s="9" t="str">
        <f>IF(INDEX('Course_Config'!$J$2:$J$7,AU6)=0,"N/A",IF(COUNTIFS('Student_Marks'!$B$2:$B$49,A6,'Student_Marks'!$F$2:$F$49,C6,'Student_Marks'!$D$2:$D$49,AP6,'Student_Marks'!$E$2:$E$49,AK6,'Student_Marks'!$H$2:$H$49,AI6,'Student_Marks'!$I$2:$I$49,AJ6,'Student_Marks'!$J$2:$J$49,"ESE",'Student_Marks'!$M$2:$M$49,"AB")&gt;0,"AB",IF(COUNTIFS('Student_Marks'!$B$2:$B$49,A6,'Student_Marks'!$F$2:$F$49,C6,'Student_Marks'!$D$2:$D$49,AP6,'Student_Marks'!$E$2:$E$49,AK6,'Student_Marks'!$H$2:$H$49,AI6,'Student_Marks'!$I$2:$I$49,AJ6,'Student_Marks'!$J$2:$J$49,"ESE",'Student_Marks'!$M$2:$M$49,"&gt;=0",'Student_Marks'!$M$2:$M$49,"&lt;&gt;")=0,"PENDING",SUMIFS('Student_Marks'!$M$2:$M$49,'Student_Marks'!$B$2:$B$49,A6,'Student_Marks'!$F$2:$F$49,C6,'Student_Marks'!$D$2:$D$49,AP6,'Student_Marks'!$E$2:$E$49,AK6,'Student_Marks'!$H$2:$H$49,AI6,'Student_Marks'!$I$2:$I$49,AJ6,'Student_Marks'!$J$2:$J$49,"ESE"))))</f>
        <v>PENDING</v>
      </c>
      <c r="N6" s="9" t="n">
        <f>IF(INDEX('Course_Config'!$H$2:$H$7,AU6)=1,INDEX('Course_Config'!$T$2:$T$7,AU6),0)</f>
        <v>0</v>
      </c>
      <c r="O6" s="9" t="n">
        <f>IF(INDEX('Course_Config'!$I$2:$I$7,AU6)=1,INDEX('Course_Config'!$U$2:$U$7,AU6),0)</f>
        <v>30</v>
      </c>
      <c r="P6" s="9" t="n">
        <f>IF(INDEX('Course_Config'!$J$2:$J$7,AU6)=1,INDEX('Course_Config'!$V$2:$V$7,AU6),0)</f>
        <v>30</v>
      </c>
      <c r="Q6" s="9" t="n">
        <f>SUM(F6,N6:P6)</f>
        <v>120</v>
      </c>
      <c r="R6" s="9" t="n">
        <f>SUM(G6,K6:M6)</f>
        <v>18</v>
      </c>
      <c r="S6" s="11" t="n">
        <f>IF(Q6=0,0,R6/Q6*100)</f>
        <v>15</v>
      </c>
      <c r="T6" s="9" t="n">
        <f>INDEX('Course_Config'!$AG$2:$AG$7,AU6)</f>
        <v>40</v>
      </c>
      <c r="U6" s="9" t="str">
        <f>IF(OR(AR6&lt;&gt;1,AN6&gt;0,AQ6&gt;0),"WITHHELD",IF(J6="TNG","TNG",IF(AL6&lt;AV6,"PENDING",IF(AM6&gt;0,"ABSENT",IF(OR(AO6&gt;0,S6&lt;T6),"FAIL","PASS")))))</f>
        <v>TNG</v>
      </c>
      <c r="V6" s="9" t="n">
        <f>IF(U6="PASS",IF(E6="Architecture",IF(S6&gt;='Grading_Reference'!B11,'Grading_Reference'!D11,IF(S6&gt;='Grading_Reference'!B12,'Grading_Reference'!D12,IF(S6&gt;='Grading_Reference'!B13,'Grading_Reference'!D13,IF(S6&gt;='Grading_Reference'!B14,'Grading_Reference'!D14,IF(S6&gt;='Grading_Reference'!B15,'Grading_Reference'!D15,IF(S6&gt;='Grading_Reference'!B16,'Grading_Reference'!D16,0)))))),IF(S6&gt;='Grading_Reference'!B2,'Grading_Reference'!D2,IF(S6&gt;='Grading_Reference'!B3,'Grading_Reference'!D3,IF(S6&gt;='Grading_Reference'!B4,'Grading_Reference'!D4,IF(S6&gt;='Grading_Reference'!B5,'Grading_Reference'!D5,IF(S6&gt;='Grading_Reference'!B6,'Grading_Reference'!D6,IF(S6&gt;='Grading_Reference'!B7,'Grading_Reference'!D7,IF(S6&gt;='Grading_Reference'!B8,'Grading_Reference'!D8,0)))))))),0)</f>
        <v>0</v>
      </c>
      <c r="W6" s="9" t="n">
        <f>AH6*V6</f>
        <v>0</v>
      </c>
      <c r="X6" s="11" t="str">
        <f>'SGPA'!F3</f>
        <v>WITHHELD</v>
      </c>
      <c r="Y6" s="9"/>
      <c r="Z6" s="9" t="n">
        <v>0</v>
      </c>
      <c r="AA6" s="9" t="str">
        <f>"NOT_REQUIRED"</f>
        <v>NOT_REQUIRED</v>
      </c>
      <c r="AB6" s="9" t="str">
        <v>NOT_REQUIRED</v>
      </c>
      <c r="AC6" s="9" t="str">
        <f>IF(J6="TNG","TNG",U6)</f>
        <v>TNG</v>
      </c>
      <c r="AD6" s="9" t="n">
        <f>V6</f>
        <v>0</v>
      </c>
      <c r="AE6" s="9" t="n">
        <f>V6</f>
        <v>0</v>
      </c>
      <c r="AF6" s="9" t="n">
        <f>V6</f>
        <v>0</v>
      </c>
      <c r="AG6" s="9" t="str">
        <f>IF(U6="PASS",IF(E6="Architecture",IF(S6&gt;='Grading_Reference'!B11,'Grading_Reference'!E11,IF(S6&gt;='Grading_Reference'!B12,'Grading_Reference'!E12,IF(S6&gt;='Grading_Reference'!B13,'Grading_Reference'!E13,IF(S6&gt;='Grading_Reference'!B14,'Grading_Reference'!E14,IF(S6&gt;='Grading_Reference'!B15,'Grading_Reference'!E15,IF(S6&gt;='Grading_Reference'!B16,'Grading_Reference'!E16,"F")))))),IF(S6&gt;='Grading_Reference'!B2,'Grading_Reference'!E2,IF(S6&gt;='Grading_Reference'!B3,'Grading_Reference'!E3,IF(S6&gt;='Grading_Reference'!B4,'Grading_Reference'!E4,IF(S6&gt;='Grading_Reference'!B5,'Grading_Reference'!E5,IF(S6&gt;='Grading_Reference'!B6,'Grading_Reference'!E6,IF(S6&gt;='Grading_Reference'!B7,'Grading_Reference'!E7,IF(S6&gt;='Grading_Reference'!B8,'Grading_Reference'!E8,"F")))))))),IF(U6="ABSENT","Ab",IF(U6="FAIL","F",U6)))</f>
        <v>TNG</v>
      </c>
      <c r="AH6" s="9" t="n">
        <f>INDEX('Course_Config'!$F$2:$F$7,AU6)</f>
        <v>3</v>
      </c>
      <c r="AI6" s="9" t="str">
        <v>2026-27</v>
      </c>
      <c r="AJ6" s="9" t="str">
        <v>Oct 2026 TEST</v>
      </c>
      <c r="AK6" s="9" t="str">
        <v>I</v>
      </c>
      <c r="AL6" s="9" t="n">
        <f>IF(INDEX('Course_Config'!$H$2:$H$7,AU6)=1,COUNTIFS('Student_Marks'!$B$2:$B$49,A6,'Student_Marks'!$F$2:$F$49,C6,'Student_Marks'!$D$2:$D$49,AP6,'Student_Marks'!$E$2:$E$49,AK6,'Student_Marks'!$H$2:$H$49,AI6,'Student_Marks'!$I$2:$I$49,AJ6,'Student_Marks'!$K$2:$K$49,"&gt;=0",'Student_Marks'!$K$2:$K$49,"&lt;&gt;")+COUNTIFS('Student_Marks'!$B$2:$B$49,A6,'Student_Marks'!$F$2:$F$49,C6,'Student_Marks'!$D$2:$D$49,AP6,'Student_Marks'!$E$2:$E$49,AK6,'Student_Marks'!$H$2:$H$49,AI6,'Student_Marks'!$I$2:$I$49,AJ6,'Student_Marks'!$K$2:$K$49,"AB"),0)+IF(INDEX('Course_Config'!$I$2:$I$7,AU6)=1,COUNTIFS('Student_Marks'!$B$2:$B$49,A6,'Student_Marks'!$F$2:$F$49,C6,'Student_Marks'!$D$2:$D$49,AP6,'Student_Marks'!$E$2:$E$49,AK6,'Student_Marks'!$H$2:$H$49,AI6,'Student_Marks'!$I$2:$I$49,AJ6,'Student_Marks'!$L$2:$L$49,"&gt;=0",'Student_Marks'!$L$2:$L$49,"&lt;&gt;")+COUNTIFS('Student_Marks'!$B$2:$B$49,A6,'Student_Marks'!$F$2:$F$49,C6,'Student_Marks'!$D$2:$D$49,AP6,'Student_Marks'!$E$2:$E$49,AK6,'Student_Marks'!$H$2:$H$49,AI6,'Student_Marks'!$I$2:$I$49,AJ6,'Student_Marks'!$L$2:$L$49,"AB"),0)+IF(INDEX('Course_Config'!$J$2:$J$7,AU6)=1,COUNTIFS('Student_Marks'!$B$2:$B$49,A6,'Student_Marks'!$F$2:$F$49,C6,'Student_Marks'!$D$2:$D$49,AP6,'Student_Marks'!$E$2:$E$49,AK6,'Student_Marks'!$H$2:$H$49,AI6,'Student_Marks'!$I$2:$I$49,AJ6,'Student_Marks'!$M$2:$M$49,"&gt;=0",'Student_Marks'!$M$2:$M$49,"&lt;&gt;")+COUNTIFS('Student_Marks'!$B$2:$B$49,A6,'Student_Marks'!$F$2:$F$49,C6,'Student_Marks'!$D$2:$D$49,AP6,'Student_Marks'!$E$2:$E$49,AK6,'Student_Marks'!$H$2:$H$49,AI6,'Student_Marks'!$I$2:$I$49,AJ6,'Student_Marks'!$M$2:$M$49,"AB"),0)</f>
        <v>6</v>
      </c>
      <c r="AM6" s="9" t="n">
        <f>IF(INDEX('Course_Config'!$H$2:$H$7,AU6)=1,COUNTIFS('Student_Marks'!$B$2:$B$49,A6,'Student_Marks'!$F$2:$F$49,C6,'Student_Marks'!$D$2:$D$49,AP6,'Student_Marks'!$E$2:$E$49,AK6,'Student_Marks'!$H$2:$H$49,AI6,'Student_Marks'!$I$2:$I$49,AJ6,'Student_Marks'!$K$2:$K$49,"AB"),0)+IF(INDEX('Course_Config'!$I$2:$I$7,AU6)=1,COUNTIFS('Student_Marks'!$B$2:$B$49,A6,'Student_Marks'!$F$2:$F$49,C6,'Student_Marks'!$D$2:$D$49,AP6,'Student_Marks'!$E$2:$E$49,AK6,'Student_Marks'!$H$2:$H$49,AI6,'Student_Marks'!$I$2:$I$49,AJ6,'Student_Marks'!$L$2:$L$49,"AB"),0)+IF(INDEX('Course_Config'!$J$2:$J$7,AU6)=1,COUNTIFS('Student_Marks'!$B$2:$B$49,A6,'Student_Marks'!$F$2:$F$49,C6,'Student_Marks'!$D$2:$D$49,AP6,'Student_Marks'!$E$2:$E$49,AK6,'Student_Marks'!$H$2:$H$49,AI6,'Student_Marks'!$I$2:$I$49,AJ6,'Student_Marks'!$M$2:$M$49,"AB"),0)</f>
        <v>0</v>
      </c>
      <c r="AN6" s="9" t="n">
        <f>COUNTIFS('Student_Marks'!$B$2:$B$49,A6,'Student_Marks'!$F$2:$F$49,C6,'Student_Marks'!$D$2:$D$49,AP6,'Student_Marks'!$E$2:$E$49,AK6,'Student_Marks'!$H$2:$H$49,AI6,'Student_Marks'!$I$2:$I$49,AJ6,'Student_Marks'!$Q$2:$Q$49,"INVALID")</f>
        <v>0</v>
      </c>
      <c r="AO6" s="9" t="n">
        <f>IF(AND(N6&gt;0,ISNUMBER(K6)),IF(K6&lt;IF(INDEX('Course_Config'!$AH$2:$AH$7,AU6)=1,ROUNDUP(N6*INDEX('Course_Config'!$AC$2:$AC$7,AU6)/100,0),N6*INDEX('Course_Config'!$AC$2:$AC$7,AU6)/100),1,0),0)+IF(AND(O6&gt;0,ISNUMBER(L6)),IF(L6&lt;IF(INDEX('Course_Config'!$AH$2:$AH$7,AU6)=1,ROUNDUP(O6*INDEX('Course_Config'!$AD$2:$AD$7,AU6)/100,0),O6*INDEX('Course_Config'!$AD$2:$AD$7,AU6)/100),1,0),0)+IF(AND(P6&gt;0,ISNUMBER(M6)),IF(M6&lt;IF(INDEX('Course_Config'!$AH$2:$AH$7,AU6)=1,ROUNDUP(P6*INDEX('Course_Config'!$AE$2:$AE$7,AU6)/100,0),P6*INDEX('Course_Config'!$AE$2:$AE$7,AU6)/100),1,0),0)</f>
        <v>0</v>
      </c>
      <c r="AP6" s="9" t="str">
        <v>[TEST] B.Tech. Construction Engineering &amp; Management</v>
      </c>
      <c r="AQ6" s="9" t="n">
        <f>IF(COUNTIFS('Student_Marks'!$B$2:$B$49,A6,'Student_Marks'!$F$2:$F$49,C6,'Student_Marks'!$D$2:$D$49,AP6,'Student_Marks'!$E$2:$E$49,AK6,'Student_Marks'!$H$2:$H$49,AI6,'Student_Marks'!$I$2:$I$49,AJ6,'Student_Marks'!$J$2:$J$49,"CA1")&gt;1,1,0)+IF(COUNTIFS('Student_Marks'!$B$2:$B$49,A6,'Student_Marks'!$F$2:$F$49,C6,'Student_Marks'!$D$2:$D$49,AP6,'Student_Marks'!$E$2:$E$49,AK6,'Student_Marks'!$H$2:$H$49,AI6,'Student_Marks'!$I$2:$I$49,AJ6,'Student_Marks'!$J$2:$J$49,"CA2")&gt;1,1,0)+IF(COUNTIFS('Student_Marks'!$B$2:$B$49,A6,'Student_Marks'!$F$2:$F$49,C6,'Student_Marks'!$D$2:$D$49,AP6,'Student_Marks'!$E$2:$E$49,AK6,'Student_Marks'!$H$2:$H$49,AI6,'Student_Marks'!$I$2:$I$49,AJ6,'Student_Marks'!$J$2:$J$49,"CA3")&gt;1,1,0)+IF(COUNTIFS('Student_Marks'!$B$2:$B$49,A6,'Student_Marks'!$F$2:$F$49,C6,'Student_Marks'!$D$2:$D$49,AP6,'Student_Marks'!$E$2:$E$49,AK6,'Student_Marks'!$H$2:$H$49,AI6,'Student_Marks'!$I$2:$I$49,AJ6,'Student_Marks'!$J$2:$J$49,"ESE")&gt;1,1,0)</f>
        <v>0</v>
      </c>
      <c r="AR6" s="9" t="n">
        <f>INDEX('Course_Config'!$AJ$2:$AJ$7,AU6)</f>
        <v>1</v>
      </c>
      <c r="AS6" s="9" t="str">
        <f>IF(J6="TG","ELIGIBLE","NOT_ELIGIBLE")</f>
        <v>NOT_ELIGIBLE</v>
      </c>
      <c r="AT6" s="9" t="str">
        <v>TEST-1</v>
      </c>
      <c r="AU6" s="9" t="n">
        <f>SUMIFS('Course_Config'!$AK$2:$AK$7,'Course_Config'!$AA$2:$AA$7,AP6&amp;"|"&amp;C6&amp;"|"&amp;AK6)</f>
        <v>2</v>
      </c>
      <c r="AV6" s="9" t="n">
        <f>4*SUM(INDEX('Course_Config'!$H$2:$H$7,AU6),INDEX('Course_Config'!$I$2:$I$7,AU6),INDEX('Course_Config'!$J$2:$J$7,AU6))</f>
        <v>8</v>
      </c>
    </row>
    <row r="7">
      <c r="A7" s="9" t="str">
        <v>TEST1003</v>
      </c>
      <c r="B7" s="9" t="str">
        <v>Test Student 1-03 (TNG)</v>
      </c>
      <c r="C7" s="9" t="str">
        <v>T103</v>
      </c>
      <c r="D7" s="9" t="str">
        <v>Core Theory</v>
      </c>
      <c r="E7" s="9" t="str">
        <f>INDEX('Course_Config'!$E$2:$E$7,AU7)</f>
        <v>Non-Architecture</v>
      </c>
      <c r="F7" s="9" t="n">
        <f>IF(INDEX('Course_Config'!$H$2:$H$7,AU7)=1,SUM(INDEX('Course_Config'!$K$2:$K$7,AU7),INDEX('Course_Config'!$L$2:$L$7,AU7),INDEX('Course_Config'!$M$2:$M$7,AU7)),0)+IF(INDEX('Course_Config'!$I$2:$I$7,AU7)=1,SUM(INDEX('Course_Config'!$N$2:$N$7,AU7),INDEX('Course_Config'!$O$2:$O$7,AU7),INDEX('Course_Config'!$P$2:$P$7,AU7)),0)+IF(INDEX('Course_Config'!$J$2:$J$7,AU7)=1,SUM(INDEX('Course_Config'!$Q$2:$Q$7,AU7),INDEX('Course_Config'!$R$2:$R$7,AU7),INDEX('Course_Config'!$S$2:$S$7,AU7)),0)</f>
        <v>30</v>
      </c>
      <c r="G7" s="9" t="n">
        <f>IF(INDEX('Course_Config'!$H$2:$H$7,AU7)=1,SUM(SUMIFS('Student_Marks'!$K$2:$K$49,'Student_Marks'!$B$2:$B$49,A7,'Student_Marks'!$F$2:$F$49,C7,'Student_Marks'!$D$2:$D$49,AP7,'Student_Marks'!$E$2:$E$49,AK7,'Student_Marks'!$H$2:$H$49,AI7,'Student_Marks'!$I$2:$I$49,AJ7,'Student_Marks'!$J$2:$J$49,"CA1"),SUMIFS('Student_Marks'!$K$2:$K$49,'Student_Marks'!$B$2:$B$49,A7,'Student_Marks'!$F$2:$F$49,C7,'Student_Marks'!$D$2:$D$49,AP7,'Student_Marks'!$E$2:$E$49,AK7,'Student_Marks'!$H$2:$H$49,AI7,'Student_Marks'!$I$2:$I$49,AJ7,'Student_Marks'!$J$2:$J$49,"CA2"),SUMIFS('Student_Marks'!$K$2:$K$49,'Student_Marks'!$B$2:$B$49,A7,'Student_Marks'!$F$2:$F$49,C7,'Student_Marks'!$D$2:$D$49,AP7,'Student_Marks'!$E$2:$E$49,AK7,'Student_Marks'!$H$2:$H$49,AI7,'Student_Marks'!$I$2:$I$49,AJ7,'Student_Marks'!$J$2:$J$49,"CA3")),0)+IF(INDEX('Course_Config'!$I$2:$I$7,AU7)=1,SUM(SUMIFS('Student_Marks'!$L$2:$L$49,'Student_Marks'!$B$2:$B$49,A7,'Student_Marks'!$F$2:$F$49,C7,'Student_Marks'!$D$2:$D$49,AP7,'Student_Marks'!$E$2:$E$49,AK7,'Student_Marks'!$H$2:$H$49,AI7,'Student_Marks'!$I$2:$I$49,AJ7,'Student_Marks'!$J$2:$J$49,"CA1"),SUMIFS('Student_Marks'!$L$2:$L$49,'Student_Marks'!$B$2:$B$49,A7,'Student_Marks'!$F$2:$F$49,C7,'Student_Marks'!$D$2:$D$49,AP7,'Student_Marks'!$E$2:$E$49,AK7,'Student_Marks'!$H$2:$H$49,AI7,'Student_Marks'!$I$2:$I$49,AJ7,'Student_Marks'!$J$2:$J$49,"CA2"),SUMIFS('Student_Marks'!$L$2:$L$49,'Student_Marks'!$B$2:$B$49,A7,'Student_Marks'!$F$2:$F$49,C7,'Student_Marks'!$D$2:$D$49,AP7,'Student_Marks'!$E$2:$E$49,AK7,'Student_Marks'!$H$2:$H$49,AI7,'Student_Marks'!$I$2:$I$49,AJ7,'Student_Marks'!$J$2:$J$49,"CA3")),0)+IF(INDEX('Course_Config'!$J$2:$J$7,AU7)=1,SUM(SUMIFS('Student_Marks'!$M$2:$M$49,'Student_Marks'!$B$2:$B$49,A7,'Student_Marks'!$F$2:$F$49,C7,'Student_Marks'!$D$2:$D$49,AP7,'Student_Marks'!$E$2:$E$49,AK7,'Student_Marks'!$H$2:$H$49,AI7,'Student_Marks'!$I$2:$I$49,AJ7,'Student_Marks'!$J$2:$J$49,"CA1"),SUMIFS('Student_Marks'!$M$2:$M$49,'Student_Marks'!$B$2:$B$49,A7,'Student_Marks'!$F$2:$F$49,C7,'Student_Marks'!$D$2:$D$49,AP7,'Student_Marks'!$E$2:$E$49,AK7,'Student_Marks'!$H$2:$H$49,AI7,'Student_Marks'!$I$2:$I$49,AJ7,'Student_Marks'!$J$2:$J$49,"CA2"),SUMIFS('Student_Marks'!$M$2:$M$49,'Student_Marks'!$B$2:$B$49,A7,'Student_Marks'!$F$2:$F$49,C7,'Student_Marks'!$D$2:$D$49,AP7,'Student_Marks'!$E$2:$E$49,AK7,'Student_Marks'!$H$2:$H$49,AI7,'Student_Marks'!$I$2:$I$49,AJ7,'Student_Marks'!$J$2:$J$49,"CA3")),0)</f>
        <v>9</v>
      </c>
      <c r="H7" s="9" t="n">
        <f>IF(F7=0,0,G7/F7*100)</f>
        <v>30</v>
      </c>
      <c r="I7" s="9" t="n">
        <f>IF(INDEX('Course_Config'!$AH$2:$AH$7,AU7)=1,ROUNDUP(F7*INDEX('Course_Config'!$AF$2:$AF$7,AU7)/100,0),F7*INDEX('Course_Config'!$AF$2:$AF$7,AU7)/100)</f>
        <v>12</v>
      </c>
      <c r="J7" s="9" t="str">
        <f>IF((IF(INDEX('Course_Config'!$H$2:$H$7,AU7)=1,COUNTIFS('Student_Marks'!$B$2:$B$49,A7,'Student_Marks'!$F$2:$F$49,C7,'Student_Marks'!$D$2:$D$49,AP7,'Student_Marks'!$E$2:$E$49,AK7,'Student_Marks'!$H$2:$H$49,AI7,'Student_Marks'!$I$2:$I$49,AJ7,'Student_Marks'!$J$2:$J$49,"CA1",'Student_Marks'!$K$2:$K$49,"&gt;=0",'Student_Marks'!$K$2:$K$49,"&lt;&gt;"),0)+IF(INDEX('Course_Config'!$I$2:$I$7,AU7)=1,COUNTIFS('Student_Marks'!$B$2:$B$49,A7,'Student_Marks'!$F$2:$F$49,C7,'Student_Marks'!$D$2:$D$49,AP7,'Student_Marks'!$E$2:$E$49,AK7,'Student_Marks'!$H$2:$H$49,AI7,'Student_Marks'!$I$2:$I$49,AJ7,'Student_Marks'!$J$2:$J$49,"CA1",'Student_Marks'!$L$2:$L$49,"&gt;=0",'Student_Marks'!$L$2:$L$49,"&lt;&gt;"),0)+IF(INDEX('Course_Config'!$J$2:$J$7,AU7)=1,COUNTIFS('Student_Marks'!$B$2:$B$49,A7,'Student_Marks'!$F$2:$F$49,C7,'Student_Marks'!$D$2:$D$49,AP7,'Student_Marks'!$E$2:$E$49,AK7,'Student_Marks'!$H$2:$H$49,AI7,'Student_Marks'!$I$2:$I$49,AJ7,'Student_Marks'!$J$2:$J$49,"CA1",'Student_Marks'!$M$2:$M$49,"&gt;=0",'Student_Marks'!$M$2:$M$49,"&lt;&gt;"),0)+IF(INDEX('Course_Config'!$H$2:$H$7,AU7)=1,COUNTIFS('Student_Marks'!$B$2:$B$49,A7,'Student_Marks'!$F$2:$F$49,C7,'Student_Marks'!$D$2:$D$49,AP7,'Student_Marks'!$E$2:$E$49,AK7,'Student_Marks'!$H$2:$H$49,AI7,'Student_Marks'!$I$2:$I$49,AJ7,'Student_Marks'!$J$2:$J$49,"CA2",'Student_Marks'!$K$2:$K$49,"&gt;=0",'Student_Marks'!$K$2:$K$49,"&lt;&gt;"),0)+IF(INDEX('Course_Config'!$I$2:$I$7,AU7)=1,COUNTIFS('Student_Marks'!$B$2:$B$49,A7,'Student_Marks'!$F$2:$F$49,C7,'Student_Marks'!$D$2:$D$49,AP7,'Student_Marks'!$E$2:$E$49,AK7,'Student_Marks'!$H$2:$H$49,AI7,'Student_Marks'!$I$2:$I$49,AJ7,'Student_Marks'!$J$2:$J$49,"CA2",'Student_Marks'!$L$2:$L$49,"&gt;=0",'Student_Marks'!$L$2:$L$49,"&lt;&gt;"),0)+IF(INDEX('Course_Config'!$J$2:$J$7,AU7)=1,COUNTIFS('Student_Marks'!$B$2:$B$49,A7,'Student_Marks'!$F$2:$F$49,C7,'Student_Marks'!$D$2:$D$49,AP7,'Student_Marks'!$E$2:$E$49,AK7,'Student_Marks'!$H$2:$H$49,AI7,'Student_Marks'!$I$2:$I$49,AJ7,'Student_Marks'!$J$2:$J$49,"CA2",'Student_Marks'!$M$2:$M$49,"&gt;=0",'Student_Marks'!$M$2:$M$49,"&lt;&gt;"),0)+IF(INDEX('Course_Config'!$H$2:$H$7,AU7)=1,COUNTIFS('Student_Marks'!$B$2:$B$49,A7,'Student_Marks'!$F$2:$F$49,C7,'Student_Marks'!$D$2:$D$49,AP7,'Student_Marks'!$E$2:$E$49,AK7,'Student_Marks'!$H$2:$H$49,AI7,'Student_Marks'!$I$2:$I$49,AJ7,'Student_Marks'!$J$2:$J$49,"CA3",'Student_Marks'!$K$2:$K$49,"&gt;=0",'Student_Marks'!$K$2:$K$49,"&lt;&gt;"),0)+IF(INDEX('Course_Config'!$I$2:$I$7,AU7)=1,COUNTIFS('Student_Marks'!$B$2:$B$49,A7,'Student_Marks'!$F$2:$F$49,C7,'Student_Marks'!$D$2:$D$49,AP7,'Student_Marks'!$E$2:$E$49,AK7,'Student_Marks'!$H$2:$H$49,AI7,'Student_Marks'!$I$2:$I$49,AJ7,'Student_Marks'!$J$2:$J$49,"CA3",'Student_Marks'!$L$2:$L$49,"&gt;=0",'Student_Marks'!$L$2:$L$49,"&lt;&gt;"),0)+IF(INDEX('Course_Config'!$J$2:$J$7,AU7)=1,COUNTIFS('Student_Marks'!$B$2:$B$49,A7,'Student_Marks'!$F$2:$F$49,C7,'Student_Marks'!$D$2:$D$49,AP7,'Student_Marks'!$E$2:$E$49,AK7,'Student_Marks'!$H$2:$H$49,AI7,'Student_Marks'!$I$2:$I$49,AJ7,'Student_Marks'!$J$2:$J$49,"CA3",'Student_Marks'!$M$2:$M$49,"&gt;=0",'Student_Marks'!$M$2:$M$49,"&lt;&gt;"),0))&lt;AV7*3/4,"PENDING",IF(G7&lt;I7,"TNG","TG"))</f>
        <v>TNG</v>
      </c>
      <c r="K7" s="9" t="str">
        <f>IF(INDEX('Course_Config'!$H$2:$H$7,AU7)=0,"N/A",IF(COUNTIFS('Student_Marks'!$B$2:$B$49,A7,'Student_Marks'!$F$2:$F$49,C7,'Student_Marks'!$D$2:$D$49,AP7,'Student_Marks'!$E$2:$E$49,AK7,'Student_Marks'!$H$2:$H$49,AI7,'Student_Marks'!$I$2:$I$49,AJ7,'Student_Marks'!$J$2:$J$49,"ESE",'Student_Marks'!$K$2:$K$49,"AB")&gt;0,"AB",IF(COUNTIFS('Student_Marks'!$B$2:$B$49,A7,'Student_Marks'!$F$2:$F$49,C7,'Student_Marks'!$D$2:$D$49,AP7,'Student_Marks'!$E$2:$E$49,AK7,'Student_Marks'!$H$2:$H$49,AI7,'Student_Marks'!$I$2:$I$49,AJ7,'Student_Marks'!$J$2:$J$49,"ESE",'Student_Marks'!$K$2:$K$49,"&gt;=0",'Student_Marks'!$K$2:$K$49,"&lt;&gt;")=0,"PENDING",SUMIFS('Student_Marks'!$K$2:$K$49,'Student_Marks'!$B$2:$B$49,A7,'Student_Marks'!$F$2:$F$49,C7,'Student_Marks'!$D$2:$D$49,AP7,'Student_Marks'!$E$2:$E$49,AK7,'Student_Marks'!$H$2:$H$49,AI7,'Student_Marks'!$I$2:$I$49,AJ7,'Student_Marks'!$J$2:$J$49,"ESE"))))</f>
        <v>PENDING</v>
      </c>
      <c r="L7" s="9" t="str">
        <f>IF(INDEX('Course_Config'!$I$2:$I$7,AU7)=0,"N/A",IF(COUNTIFS('Student_Marks'!$B$2:$B$49,A7,'Student_Marks'!$F$2:$F$49,C7,'Student_Marks'!$D$2:$D$49,AP7,'Student_Marks'!$E$2:$E$49,AK7,'Student_Marks'!$H$2:$H$49,AI7,'Student_Marks'!$I$2:$I$49,AJ7,'Student_Marks'!$J$2:$J$49,"ESE",'Student_Marks'!$L$2:$L$49,"AB")&gt;0,"AB",IF(COUNTIFS('Student_Marks'!$B$2:$B$49,A7,'Student_Marks'!$F$2:$F$49,C7,'Student_Marks'!$D$2:$D$49,AP7,'Student_Marks'!$E$2:$E$49,AK7,'Student_Marks'!$H$2:$H$49,AI7,'Student_Marks'!$I$2:$I$49,AJ7,'Student_Marks'!$J$2:$J$49,"ESE",'Student_Marks'!$L$2:$L$49,"&gt;=0",'Student_Marks'!$L$2:$L$49,"&lt;&gt;")=0,"PENDING",SUMIFS('Student_Marks'!$L$2:$L$49,'Student_Marks'!$B$2:$B$49,A7,'Student_Marks'!$F$2:$F$49,C7,'Student_Marks'!$D$2:$D$49,AP7,'Student_Marks'!$E$2:$E$49,AK7,'Student_Marks'!$H$2:$H$49,AI7,'Student_Marks'!$I$2:$I$49,AJ7,'Student_Marks'!$J$2:$J$49,"ESE"))))</f>
        <v>N/A</v>
      </c>
      <c r="M7" s="9" t="str">
        <f>IF(INDEX('Course_Config'!$J$2:$J$7,AU7)=0,"N/A",IF(COUNTIFS('Student_Marks'!$B$2:$B$49,A7,'Student_Marks'!$F$2:$F$49,C7,'Student_Marks'!$D$2:$D$49,AP7,'Student_Marks'!$E$2:$E$49,AK7,'Student_Marks'!$H$2:$H$49,AI7,'Student_Marks'!$I$2:$I$49,AJ7,'Student_Marks'!$J$2:$J$49,"ESE",'Student_Marks'!$M$2:$M$49,"AB")&gt;0,"AB",IF(COUNTIFS('Student_Marks'!$B$2:$B$49,A7,'Student_Marks'!$F$2:$F$49,C7,'Student_Marks'!$D$2:$D$49,AP7,'Student_Marks'!$E$2:$E$49,AK7,'Student_Marks'!$H$2:$H$49,AI7,'Student_Marks'!$I$2:$I$49,AJ7,'Student_Marks'!$J$2:$J$49,"ESE",'Student_Marks'!$M$2:$M$49,"&gt;=0",'Student_Marks'!$M$2:$M$49,"&lt;&gt;")=0,"PENDING",SUMIFS('Student_Marks'!$M$2:$M$49,'Student_Marks'!$B$2:$B$49,A7,'Student_Marks'!$F$2:$F$49,C7,'Student_Marks'!$D$2:$D$49,AP7,'Student_Marks'!$E$2:$E$49,AK7,'Student_Marks'!$H$2:$H$49,AI7,'Student_Marks'!$I$2:$I$49,AJ7,'Student_Marks'!$J$2:$J$49,"ESE"))))</f>
        <v>N/A</v>
      </c>
      <c r="N7" s="9" t="n">
        <f>IF(INDEX('Course_Config'!$H$2:$H$7,AU7)=1,INDEX('Course_Config'!$T$2:$T$7,AU7),0)</f>
        <v>30</v>
      </c>
      <c r="O7" s="9" t="n">
        <f>IF(INDEX('Course_Config'!$I$2:$I$7,AU7)=1,INDEX('Course_Config'!$U$2:$U$7,AU7),0)</f>
        <v>0</v>
      </c>
      <c r="P7" s="9" t="n">
        <f>IF(INDEX('Course_Config'!$J$2:$J$7,AU7)=1,INDEX('Course_Config'!$V$2:$V$7,AU7),0)</f>
        <v>0</v>
      </c>
      <c r="Q7" s="9" t="n">
        <f>SUM(F7,N7:P7)</f>
        <v>60</v>
      </c>
      <c r="R7" s="9" t="n">
        <f>SUM(G7,K7:M7)</f>
        <v>9</v>
      </c>
      <c r="S7" s="11" t="n">
        <f>IF(Q7=0,0,R7/Q7*100)</f>
        <v>15</v>
      </c>
      <c r="T7" s="9" t="n">
        <f>INDEX('Course_Config'!$AG$2:$AG$7,AU7)</f>
        <v>40</v>
      </c>
      <c r="U7" s="9" t="str">
        <f>IF(OR(AR7&lt;&gt;1,AN7&gt;0,AQ7&gt;0),"WITHHELD",IF(J7="TNG","TNG",IF(AL7&lt;AV7,"PENDING",IF(AM7&gt;0,"ABSENT",IF(OR(AO7&gt;0,S7&lt;T7),"FAIL","PASS")))))</f>
        <v>TNG</v>
      </c>
      <c r="V7" s="9" t="n">
        <f>IF(U7="PASS",IF(E7="Architecture",IF(S7&gt;='Grading_Reference'!B11,'Grading_Reference'!D11,IF(S7&gt;='Grading_Reference'!B12,'Grading_Reference'!D12,IF(S7&gt;='Grading_Reference'!B13,'Grading_Reference'!D13,IF(S7&gt;='Grading_Reference'!B14,'Grading_Reference'!D14,IF(S7&gt;='Grading_Reference'!B15,'Grading_Reference'!D15,IF(S7&gt;='Grading_Reference'!B16,'Grading_Reference'!D16,0)))))),IF(S7&gt;='Grading_Reference'!B2,'Grading_Reference'!D2,IF(S7&gt;='Grading_Reference'!B3,'Grading_Reference'!D3,IF(S7&gt;='Grading_Reference'!B4,'Grading_Reference'!D4,IF(S7&gt;='Grading_Reference'!B5,'Grading_Reference'!D5,IF(S7&gt;='Grading_Reference'!B6,'Grading_Reference'!D6,IF(S7&gt;='Grading_Reference'!B7,'Grading_Reference'!D7,IF(S7&gt;='Grading_Reference'!B8,'Grading_Reference'!D8,0)))))))),0)</f>
        <v>0</v>
      </c>
      <c r="W7" s="9" t="n">
        <f>AH7*V7</f>
        <v>0</v>
      </c>
      <c r="X7" s="11" t="str">
        <f>'SGPA'!F3</f>
        <v>WITHHELD</v>
      </c>
      <c r="Y7" s="9"/>
      <c r="Z7" s="9" t="n">
        <v>0</v>
      </c>
      <c r="AA7" s="9" t="str">
        <f>"NOT_REQUIRED"</f>
        <v>NOT_REQUIRED</v>
      </c>
      <c r="AB7" s="9" t="str">
        <v>NOT_REQUIRED</v>
      </c>
      <c r="AC7" s="9" t="str">
        <f>IF(J7="TNG","TNG",U7)</f>
        <v>TNG</v>
      </c>
      <c r="AD7" s="9" t="n">
        <f>V7</f>
        <v>0</v>
      </c>
      <c r="AE7" s="9" t="n">
        <f>V7</f>
        <v>0</v>
      </c>
      <c r="AF7" s="9" t="n">
        <f>V7</f>
        <v>0</v>
      </c>
      <c r="AG7" s="9" t="str">
        <f>IF(U7="PASS",IF(E7="Architecture",IF(S7&gt;='Grading_Reference'!B11,'Grading_Reference'!E11,IF(S7&gt;='Grading_Reference'!B12,'Grading_Reference'!E12,IF(S7&gt;='Grading_Reference'!B13,'Grading_Reference'!E13,IF(S7&gt;='Grading_Reference'!B14,'Grading_Reference'!E14,IF(S7&gt;='Grading_Reference'!B15,'Grading_Reference'!E15,IF(S7&gt;='Grading_Reference'!B16,'Grading_Reference'!E16,"F")))))),IF(S7&gt;='Grading_Reference'!B2,'Grading_Reference'!E2,IF(S7&gt;='Grading_Reference'!B3,'Grading_Reference'!E3,IF(S7&gt;='Grading_Reference'!B4,'Grading_Reference'!E4,IF(S7&gt;='Grading_Reference'!B5,'Grading_Reference'!E5,IF(S7&gt;='Grading_Reference'!B6,'Grading_Reference'!E6,IF(S7&gt;='Grading_Reference'!B7,'Grading_Reference'!E7,IF(S7&gt;='Grading_Reference'!B8,'Grading_Reference'!E8,"F")))))))),IF(U7="ABSENT","Ab",IF(U7="FAIL","F",U7)))</f>
        <v>TNG</v>
      </c>
      <c r="AH7" s="9" t="n">
        <f>INDEX('Course_Config'!$F$2:$F$7,AU7)</f>
        <v>2</v>
      </c>
      <c r="AI7" s="9" t="str">
        <v>2026-27</v>
      </c>
      <c r="AJ7" s="9" t="str">
        <v>Oct 2026 TEST</v>
      </c>
      <c r="AK7" s="9" t="str">
        <v>I</v>
      </c>
      <c r="AL7" s="9" t="n">
        <f>IF(INDEX('Course_Config'!$H$2:$H$7,AU7)=1,COUNTIFS('Student_Marks'!$B$2:$B$49,A7,'Student_Marks'!$F$2:$F$49,C7,'Student_Marks'!$D$2:$D$49,AP7,'Student_Marks'!$E$2:$E$49,AK7,'Student_Marks'!$H$2:$H$49,AI7,'Student_Marks'!$I$2:$I$49,AJ7,'Student_Marks'!$K$2:$K$49,"&gt;=0",'Student_Marks'!$K$2:$K$49,"&lt;&gt;")+COUNTIFS('Student_Marks'!$B$2:$B$49,A7,'Student_Marks'!$F$2:$F$49,C7,'Student_Marks'!$D$2:$D$49,AP7,'Student_Marks'!$E$2:$E$49,AK7,'Student_Marks'!$H$2:$H$49,AI7,'Student_Marks'!$I$2:$I$49,AJ7,'Student_Marks'!$K$2:$K$49,"AB"),0)+IF(INDEX('Course_Config'!$I$2:$I$7,AU7)=1,COUNTIFS('Student_Marks'!$B$2:$B$49,A7,'Student_Marks'!$F$2:$F$49,C7,'Student_Marks'!$D$2:$D$49,AP7,'Student_Marks'!$E$2:$E$49,AK7,'Student_Marks'!$H$2:$H$49,AI7,'Student_Marks'!$I$2:$I$49,AJ7,'Student_Marks'!$L$2:$L$49,"&gt;=0",'Student_Marks'!$L$2:$L$49,"&lt;&gt;")+COUNTIFS('Student_Marks'!$B$2:$B$49,A7,'Student_Marks'!$F$2:$F$49,C7,'Student_Marks'!$D$2:$D$49,AP7,'Student_Marks'!$E$2:$E$49,AK7,'Student_Marks'!$H$2:$H$49,AI7,'Student_Marks'!$I$2:$I$49,AJ7,'Student_Marks'!$L$2:$L$49,"AB"),0)+IF(INDEX('Course_Config'!$J$2:$J$7,AU7)=1,COUNTIFS('Student_Marks'!$B$2:$B$49,A7,'Student_Marks'!$F$2:$F$49,C7,'Student_Marks'!$D$2:$D$49,AP7,'Student_Marks'!$E$2:$E$49,AK7,'Student_Marks'!$H$2:$H$49,AI7,'Student_Marks'!$I$2:$I$49,AJ7,'Student_Marks'!$M$2:$M$49,"&gt;=0",'Student_Marks'!$M$2:$M$49,"&lt;&gt;")+COUNTIFS('Student_Marks'!$B$2:$B$49,A7,'Student_Marks'!$F$2:$F$49,C7,'Student_Marks'!$D$2:$D$49,AP7,'Student_Marks'!$E$2:$E$49,AK7,'Student_Marks'!$H$2:$H$49,AI7,'Student_Marks'!$I$2:$I$49,AJ7,'Student_Marks'!$M$2:$M$49,"AB"),0)</f>
        <v>3</v>
      </c>
      <c r="AM7" s="9" t="n">
        <f>IF(INDEX('Course_Config'!$H$2:$H$7,AU7)=1,COUNTIFS('Student_Marks'!$B$2:$B$49,A7,'Student_Marks'!$F$2:$F$49,C7,'Student_Marks'!$D$2:$D$49,AP7,'Student_Marks'!$E$2:$E$49,AK7,'Student_Marks'!$H$2:$H$49,AI7,'Student_Marks'!$I$2:$I$49,AJ7,'Student_Marks'!$K$2:$K$49,"AB"),0)+IF(INDEX('Course_Config'!$I$2:$I$7,AU7)=1,COUNTIFS('Student_Marks'!$B$2:$B$49,A7,'Student_Marks'!$F$2:$F$49,C7,'Student_Marks'!$D$2:$D$49,AP7,'Student_Marks'!$E$2:$E$49,AK7,'Student_Marks'!$H$2:$H$49,AI7,'Student_Marks'!$I$2:$I$49,AJ7,'Student_Marks'!$L$2:$L$49,"AB"),0)+IF(INDEX('Course_Config'!$J$2:$J$7,AU7)=1,COUNTIFS('Student_Marks'!$B$2:$B$49,A7,'Student_Marks'!$F$2:$F$49,C7,'Student_Marks'!$D$2:$D$49,AP7,'Student_Marks'!$E$2:$E$49,AK7,'Student_Marks'!$H$2:$H$49,AI7,'Student_Marks'!$I$2:$I$49,AJ7,'Student_Marks'!$M$2:$M$49,"AB"),0)</f>
        <v>0</v>
      </c>
      <c r="AN7" s="9" t="n">
        <f>COUNTIFS('Student_Marks'!$B$2:$B$49,A7,'Student_Marks'!$F$2:$F$49,C7,'Student_Marks'!$D$2:$D$49,AP7,'Student_Marks'!$E$2:$E$49,AK7,'Student_Marks'!$H$2:$H$49,AI7,'Student_Marks'!$I$2:$I$49,AJ7,'Student_Marks'!$Q$2:$Q$49,"INVALID")</f>
        <v>0</v>
      </c>
      <c r="AO7" s="9" t="n">
        <f>IF(AND(N7&gt;0,ISNUMBER(K7)),IF(K7&lt;IF(INDEX('Course_Config'!$AH$2:$AH$7,AU7)=1,ROUNDUP(N7*INDEX('Course_Config'!$AC$2:$AC$7,AU7)/100,0),N7*INDEX('Course_Config'!$AC$2:$AC$7,AU7)/100),1,0),0)+IF(AND(O7&gt;0,ISNUMBER(L7)),IF(L7&lt;IF(INDEX('Course_Config'!$AH$2:$AH$7,AU7)=1,ROUNDUP(O7*INDEX('Course_Config'!$AD$2:$AD$7,AU7)/100,0),O7*INDEX('Course_Config'!$AD$2:$AD$7,AU7)/100),1,0),0)+IF(AND(P7&gt;0,ISNUMBER(M7)),IF(M7&lt;IF(INDEX('Course_Config'!$AH$2:$AH$7,AU7)=1,ROUNDUP(P7*INDEX('Course_Config'!$AE$2:$AE$7,AU7)/100,0),P7*INDEX('Course_Config'!$AE$2:$AE$7,AU7)/100),1,0),0)</f>
        <v>0</v>
      </c>
      <c r="AP7" s="9" t="str">
        <v>[TEST] B.Tech. Construction Engineering &amp; Management</v>
      </c>
      <c r="AQ7" s="9" t="n">
        <f>IF(COUNTIFS('Student_Marks'!$B$2:$B$49,A7,'Student_Marks'!$F$2:$F$49,C7,'Student_Marks'!$D$2:$D$49,AP7,'Student_Marks'!$E$2:$E$49,AK7,'Student_Marks'!$H$2:$H$49,AI7,'Student_Marks'!$I$2:$I$49,AJ7,'Student_Marks'!$J$2:$J$49,"CA1")&gt;1,1,0)+IF(COUNTIFS('Student_Marks'!$B$2:$B$49,A7,'Student_Marks'!$F$2:$F$49,C7,'Student_Marks'!$D$2:$D$49,AP7,'Student_Marks'!$E$2:$E$49,AK7,'Student_Marks'!$H$2:$H$49,AI7,'Student_Marks'!$I$2:$I$49,AJ7,'Student_Marks'!$J$2:$J$49,"CA2")&gt;1,1,0)+IF(COUNTIFS('Student_Marks'!$B$2:$B$49,A7,'Student_Marks'!$F$2:$F$49,C7,'Student_Marks'!$D$2:$D$49,AP7,'Student_Marks'!$E$2:$E$49,AK7,'Student_Marks'!$H$2:$H$49,AI7,'Student_Marks'!$I$2:$I$49,AJ7,'Student_Marks'!$J$2:$J$49,"CA3")&gt;1,1,0)+IF(COUNTIFS('Student_Marks'!$B$2:$B$49,A7,'Student_Marks'!$F$2:$F$49,C7,'Student_Marks'!$D$2:$D$49,AP7,'Student_Marks'!$E$2:$E$49,AK7,'Student_Marks'!$H$2:$H$49,AI7,'Student_Marks'!$I$2:$I$49,AJ7,'Student_Marks'!$J$2:$J$49,"ESE")&gt;1,1,0)</f>
        <v>0</v>
      </c>
      <c r="AR7" s="9" t="n">
        <f>INDEX('Course_Config'!$AJ$2:$AJ$7,AU7)</f>
        <v>1</v>
      </c>
      <c r="AS7" s="9" t="str">
        <f>IF(J7="TG","ELIGIBLE","NOT_ELIGIBLE")</f>
        <v>NOT_ELIGIBLE</v>
      </c>
      <c r="AT7" s="9" t="str">
        <v>TEST-1</v>
      </c>
      <c r="AU7" s="9" t="n">
        <f>SUMIFS('Course_Config'!$AK$2:$AK$7,'Course_Config'!$AA$2:$AA$7,AP7&amp;"|"&amp;C7&amp;"|"&amp;AK7)</f>
        <v>3</v>
      </c>
      <c r="AV7" s="9" t="n">
        <f>4*SUM(INDEX('Course_Config'!$H$2:$H$7,AU7),INDEX('Course_Config'!$I$2:$I$7,AU7),INDEX('Course_Config'!$J$2:$J$7,AU7))</f>
        <v>4</v>
      </c>
    </row>
    <row r="8">
      <c r="A8" s="9" t="str">
        <v>TEST1005</v>
      </c>
      <c r="B8" s="9" t="str">
        <v>Test Student 1-05 (PENDING)</v>
      </c>
      <c r="C8" s="9" t="str">
        <v>T101</v>
      </c>
      <c r="D8" s="9" t="str">
        <v>Integrated Foundation</v>
      </c>
      <c r="E8" s="9" t="str">
        <f>INDEX('Course_Config'!$E$2:$E$7,AU8)</f>
        <v>Non-Architecture</v>
      </c>
      <c r="F8" s="9" t="n">
        <f>IF(INDEX('Course_Config'!$H$2:$H$7,AU8)=1,SUM(INDEX('Course_Config'!$K$2:$K$7,AU8),INDEX('Course_Config'!$L$2:$L$7,AU8),INDEX('Course_Config'!$M$2:$M$7,AU8)),0)+IF(INDEX('Course_Config'!$I$2:$I$7,AU8)=1,SUM(INDEX('Course_Config'!$N$2:$N$7,AU8),INDEX('Course_Config'!$O$2:$O$7,AU8),INDEX('Course_Config'!$P$2:$P$7,AU8)),0)+IF(INDEX('Course_Config'!$J$2:$J$7,AU8)=1,SUM(INDEX('Course_Config'!$Q$2:$Q$7,AU8),INDEX('Course_Config'!$R$2:$R$7,AU8),INDEX('Course_Config'!$S$2:$S$7,AU8)),0)</f>
        <v>90</v>
      </c>
      <c r="G8" s="9" t="n">
        <f>IF(INDEX('Course_Config'!$H$2:$H$7,AU8)=1,SUM(SUMIFS('Student_Marks'!$K$2:$K$49,'Student_Marks'!$B$2:$B$49,A8,'Student_Marks'!$F$2:$F$49,C8,'Student_Marks'!$D$2:$D$49,AP8,'Student_Marks'!$E$2:$E$49,AK8,'Student_Marks'!$H$2:$H$49,AI8,'Student_Marks'!$I$2:$I$49,AJ8,'Student_Marks'!$J$2:$J$49,"CA1"),SUMIFS('Student_Marks'!$K$2:$K$49,'Student_Marks'!$B$2:$B$49,A8,'Student_Marks'!$F$2:$F$49,C8,'Student_Marks'!$D$2:$D$49,AP8,'Student_Marks'!$E$2:$E$49,AK8,'Student_Marks'!$H$2:$H$49,AI8,'Student_Marks'!$I$2:$I$49,AJ8,'Student_Marks'!$J$2:$J$49,"CA2"),SUMIFS('Student_Marks'!$K$2:$K$49,'Student_Marks'!$B$2:$B$49,A8,'Student_Marks'!$F$2:$F$49,C8,'Student_Marks'!$D$2:$D$49,AP8,'Student_Marks'!$E$2:$E$49,AK8,'Student_Marks'!$H$2:$H$49,AI8,'Student_Marks'!$I$2:$I$49,AJ8,'Student_Marks'!$J$2:$J$49,"CA3")),0)+IF(INDEX('Course_Config'!$I$2:$I$7,AU8)=1,SUM(SUMIFS('Student_Marks'!$L$2:$L$49,'Student_Marks'!$B$2:$B$49,A8,'Student_Marks'!$F$2:$F$49,C8,'Student_Marks'!$D$2:$D$49,AP8,'Student_Marks'!$E$2:$E$49,AK8,'Student_Marks'!$H$2:$H$49,AI8,'Student_Marks'!$I$2:$I$49,AJ8,'Student_Marks'!$J$2:$J$49,"CA1"),SUMIFS('Student_Marks'!$L$2:$L$49,'Student_Marks'!$B$2:$B$49,A8,'Student_Marks'!$F$2:$F$49,C8,'Student_Marks'!$D$2:$D$49,AP8,'Student_Marks'!$E$2:$E$49,AK8,'Student_Marks'!$H$2:$H$49,AI8,'Student_Marks'!$I$2:$I$49,AJ8,'Student_Marks'!$J$2:$J$49,"CA2"),SUMIFS('Student_Marks'!$L$2:$L$49,'Student_Marks'!$B$2:$B$49,A8,'Student_Marks'!$F$2:$F$49,C8,'Student_Marks'!$D$2:$D$49,AP8,'Student_Marks'!$E$2:$E$49,AK8,'Student_Marks'!$H$2:$H$49,AI8,'Student_Marks'!$I$2:$I$49,AJ8,'Student_Marks'!$J$2:$J$49,"CA3")),0)+IF(INDEX('Course_Config'!$J$2:$J$7,AU8)=1,SUM(SUMIFS('Student_Marks'!$M$2:$M$49,'Student_Marks'!$B$2:$B$49,A8,'Student_Marks'!$F$2:$F$49,C8,'Student_Marks'!$D$2:$D$49,AP8,'Student_Marks'!$E$2:$E$49,AK8,'Student_Marks'!$H$2:$H$49,AI8,'Student_Marks'!$I$2:$I$49,AJ8,'Student_Marks'!$J$2:$J$49,"CA1"),SUMIFS('Student_Marks'!$M$2:$M$49,'Student_Marks'!$B$2:$B$49,A8,'Student_Marks'!$F$2:$F$49,C8,'Student_Marks'!$D$2:$D$49,AP8,'Student_Marks'!$E$2:$E$49,AK8,'Student_Marks'!$H$2:$H$49,AI8,'Student_Marks'!$I$2:$I$49,AJ8,'Student_Marks'!$J$2:$J$49,"CA2"),SUMIFS('Student_Marks'!$M$2:$M$49,'Student_Marks'!$B$2:$B$49,A8,'Student_Marks'!$F$2:$F$49,C8,'Student_Marks'!$D$2:$D$49,AP8,'Student_Marks'!$E$2:$E$49,AK8,'Student_Marks'!$H$2:$H$49,AI8,'Student_Marks'!$I$2:$I$49,AJ8,'Student_Marks'!$J$2:$J$49,"CA3")),0)</f>
        <v>48</v>
      </c>
      <c r="H8" s="9" t="n">
        <f>IF(F8=0,0,G8/F8*100)</f>
        <v>53.333333333333336</v>
      </c>
      <c r="I8" s="9" t="n">
        <f>IF(INDEX('Course_Config'!$AH$2:$AH$7,AU8)=1,ROUNDUP(F8*INDEX('Course_Config'!$AF$2:$AF$7,AU8)/100,0),F8*INDEX('Course_Config'!$AF$2:$AF$7,AU8)/100)</f>
        <v>36</v>
      </c>
      <c r="J8" s="9" t="str">
        <f>IF((IF(INDEX('Course_Config'!$H$2:$H$7,AU8)=1,COUNTIFS('Student_Marks'!$B$2:$B$49,A8,'Student_Marks'!$F$2:$F$49,C8,'Student_Marks'!$D$2:$D$49,AP8,'Student_Marks'!$E$2:$E$49,AK8,'Student_Marks'!$H$2:$H$49,AI8,'Student_Marks'!$I$2:$I$49,AJ8,'Student_Marks'!$J$2:$J$49,"CA1",'Student_Marks'!$K$2:$K$49,"&gt;=0",'Student_Marks'!$K$2:$K$49,"&lt;&gt;"),0)+IF(INDEX('Course_Config'!$I$2:$I$7,AU8)=1,COUNTIFS('Student_Marks'!$B$2:$B$49,A8,'Student_Marks'!$F$2:$F$49,C8,'Student_Marks'!$D$2:$D$49,AP8,'Student_Marks'!$E$2:$E$49,AK8,'Student_Marks'!$H$2:$H$49,AI8,'Student_Marks'!$I$2:$I$49,AJ8,'Student_Marks'!$J$2:$J$49,"CA1",'Student_Marks'!$L$2:$L$49,"&gt;=0",'Student_Marks'!$L$2:$L$49,"&lt;&gt;"),0)+IF(INDEX('Course_Config'!$J$2:$J$7,AU8)=1,COUNTIFS('Student_Marks'!$B$2:$B$49,A8,'Student_Marks'!$F$2:$F$49,C8,'Student_Marks'!$D$2:$D$49,AP8,'Student_Marks'!$E$2:$E$49,AK8,'Student_Marks'!$H$2:$H$49,AI8,'Student_Marks'!$I$2:$I$49,AJ8,'Student_Marks'!$J$2:$J$49,"CA1",'Student_Marks'!$M$2:$M$49,"&gt;=0",'Student_Marks'!$M$2:$M$49,"&lt;&gt;"),0)+IF(INDEX('Course_Config'!$H$2:$H$7,AU8)=1,COUNTIFS('Student_Marks'!$B$2:$B$49,A8,'Student_Marks'!$F$2:$F$49,C8,'Student_Marks'!$D$2:$D$49,AP8,'Student_Marks'!$E$2:$E$49,AK8,'Student_Marks'!$H$2:$H$49,AI8,'Student_Marks'!$I$2:$I$49,AJ8,'Student_Marks'!$J$2:$J$49,"CA2",'Student_Marks'!$K$2:$K$49,"&gt;=0",'Student_Marks'!$K$2:$K$49,"&lt;&gt;"),0)+IF(INDEX('Course_Config'!$I$2:$I$7,AU8)=1,COUNTIFS('Student_Marks'!$B$2:$B$49,A8,'Student_Marks'!$F$2:$F$49,C8,'Student_Marks'!$D$2:$D$49,AP8,'Student_Marks'!$E$2:$E$49,AK8,'Student_Marks'!$H$2:$H$49,AI8,'Student_Marks'!$I$2:$I$49,AJ8,'Student_Marks'!$J$2:$J$49,"CA2",'Student_Marks'!$L$2:$L$49,"&gt;=0",'Student_Marks'!$L$2:$L$49,"&lt;&gt;"),0)+IF(INDEX('Course_Config'!$J$2:$J$7,AU8)=1,COUNTIFS('Student_Marks'!$B$2:$B$49,A8,'Student_Marks'!$F$2:$F$49,C8,'Student_Marks'!$D$2:$D$49,AP8,'Student_Marks'!$E$2:$E$49,AK8,'Student_Marks'!$H$2:$H$49,AI8,'Student_Marks'!$I$2:$I$49,AJ8,'Student_Marks'!$J$2:$J$49,"CA2",'Student_Marks'!$M$2:$M$49,"&gt;=0",'Student_Marks'!$M$2:$M$49,"&lt;&gt;"),0)+IF(INDEX('Course_Config'!$H$2:$H$7,AU8)=1,COUNTIFS('Student_Marks'!$B$2:$B$49,A8,'Student_Marks'!$F$2:$F$49,C8,'Student_Marks'!$D$2:$D$49,AP8,'Student_Marks'!$E$2:$E$49,AK8,'Student_Marks'!$H$2:$H$49,AI8,'Student_Marks'!$I$2:$I$49,AJ8,'Student_Marks'!$J$2:$J$49,"CA3",'Student_Marks'!$K$2:$K$49,"&gt;=0",'Student_Marks'!$K$2:$K$49,"&lt;&gt;"),0)+IF(INDEX('Course_Config'!$I$2:$I$7,AU8)=1,COUNTIFS('Student_Marks'!$B$2:$B$49,A8,'Student_Marks'!$F$2:$F$49,C8,'Student_Marks'!$D$2:$D$49,AP8,'Student_Marks'!$E$2:$E$49,AK8,'Student_Marks'!$H$2:$H$49,AI8,'Student_Marks'!$I$2:$I$49,AJ8,'Student_Marks'!$J$2:$J$49,"CA3",'Student_Marks'!$L$2:$L$49,"&gt;=0",'Student_Marks'!$L$2:$L$49,"&lt;&gt;"),0)+IF(INDEX('Course_Config'!$J$2:$J$7,AU8)=1,COUNTIFS('Student_Marks'!$B$2:$B$49,A8,'Student_Marks'!$F$2:$F$49,C8,'Student_Marks'!$D$2:$D$49,AP8,'Student_Marks'!$E$2:$E$49,AK8,'Student_Marks'!$H$2:$H$49,AI8,'Student_Marks'!$I$2:$I$49,AJ8,'Student_Marks'!$J$2:$J$49,"CA3",'Student_Marks'!$M$2:$M$49,"&gt;=0",'Student_Marks'!$M$2:$M$49,"&lt;&gt;"),0))&lt;AV8*3/4,"PENDING",IF(G8&lt;I8,"TNG","TG"))</f>
        <v>PENDING</v>
      </c>
      <c r="K8" s="9" t="str">
        <f>IF(INDEX('Course_Config'!$H$2:$H$7,AU8)=0,"N/A",IF(COUNTIFS('Student_Marks'!$B$2:$B$49,A8,'Student_Marks'!$F$2:$F$49,C8,'Student_Marks'!$D$2:$D$49,AP8,'Student_Marks'!$E$2:$E$49,AK8,'Student_Marks'!$H$2:$H$49,AI8,'Student_Marks'!$I$2:$I$49,AJ8,'Student_Marks'!$J$2:$J$49,"ESE",'Student_Marks'!$K$2:$K$49,"AB")&gt;0,"AB",IF(COUNTIFS('Student_Marks'!$B$2:$B$49,A8,'Student_Marks'!$F$2:$F$49,C8,'Student_Marks'!$D$2:$D$49,AP8,'Student_Marks'!$E$2:$E$49,AK8,'Student_Marks'!$H$2:$H$49,AI8,'Student_Marks'!$I$2:$I$49,AJ8,'Student_Marks'!$J$2:$J$49,"ESE",'Student_Marks'!$K$2:$K$49,"&gt;=0",'Student_Marks'!$K$2:$K$49,"&lt;&gt;")=0,"PENDING",SUMIFS('Student_Marks'!$K$2:$K$49,'Student_Marks'!$B$2:$B$49,A8,'Student_Marks'!$F$2:$F$49,C8,'Student_Marks'!$D$2:$D$49,AP8,'Student_Marks'!$E$2:$E$49,AK8,'Student_Marks'!$H$2:$H$49,AI8,'Student_Marks'!$I$2:$I$49,AJ8,'Student_Marks'!$J$2:$J$49,"ESE"))))</f>
        <v>PENDING</v>
      </c>
      <c r="L8" s="9" t="str">
        <f>IF(INDEX('Course_Config'!$I$2:$I$7,AU8)=0,"N/A",IF(COUNTIFS('Student_Marks'!$B$2:$B$49,A8,'Student_Marks'!$F$2:$F$49,C8,'Student_Marks'!$D$2:$D$49,AP8,'Student_Marks'!$E$2:$E$49,AK8,'Student_Marks'!$H$2:$H$49,AI8,'Student_Marks'!$I$2:$I$49,AJ8,'Student_Marks'!$J$2:$J$49,"ESE",'Student_Marks'!$L$2:$L$49,"AB")&gt;0,"AB",IF(COUNTIFS('Student_Marks'!$B$2:$B$49,A8,'Student_Marks'!$F$2:$F$49,C8,'Student_Marks'!$D$2:$D$49,AP8,'Student_Marks'!$E$2:$E$49,AK8,'Student_Marks'!$H$2:$H$49,AI8,'Student_Marks'!$I$2:$I$49,AJ8,'Student_Marks'!$J$2:$J$49,"ESE",'Student_Marks'!$L$2:$L$49,"&gt;=0",'Student_Marks'!$L$2:$L$49,"&lt;&gt;")=0,"PENDING",SUMIFS('Student_Marks'!$L$2:$L$49,'Student_Marks'!$B$2:$B$49,A8,'Student_Marks'!$F$2:$F$49,C8,'Student_Marks'!$D$2:$D$49,AP8,'Student_Marks'!$E$2:$E$49,AK8,'Student_Marks'!$H$2:$H$49,AI8,'Student_Marks'!$I$2:$I$49,AJ8,'Student_Marks'!$J$2:$J$49,"ESE"))))</f>
        <v>PENDING</v>
      </c>
      <c r="M8" s="9" t="str">
        <f>IF(INDEX('Course_Config'!$J$2:$J$7,AU8)=0,"N/A",IF(COUNTIFS('Student_Marks'!$B$2:$B$49,A8,'Student_Marks'!$F$2:$F$49,C8,'Student_Marks'!$D$2:$D$49,AP8,'Student_Marks'!$E$2:$E$49,AK8,'Student_Marks'!$H$2:$H$49,AI8,'Student_Marks'!$I$2:$I$49,AJ8,'Student_Marks'!$J$2:$J$49,"ESE",'Student_Marks'!$M$2:$M$49,"AB")&gt;0,"AB",IF(COUNTIFS('Student_Marks'!$B$2:$B$49,A8,'Student_Marks'!$F$2:$F$49,C8,'Student_Marks'!$D$2:$D$49,AP8,'Student_Marks'!$E$2:$E$49,AK8,'Student_Marks'!$H$2:$H$49,AI8,'Student_Marks'!$I$2:$I$49,AJ8,'Student_Marks'!$J$2:$J$49,"ESE",'Student_Marks'!$M$2:$M$49,"&gt;=0",'Student_Marks'!$M$2:$M$49,"&lt;&gt;")=0,"PENDING",SUMIFS('Student_Marks'!$M$2:$M$49,'Student_Marks'!$B$2:$B$49,A8,'Student_Marks'!$F$2:$F$49,C8,'Student_Marks'!$D$2:$D$49,AP8,'Student_Marks'!$E$2:$E$49,AK8,'Student_Marks'!$H$2:$H$49,AI8,'Student_Marks'!$I$2:$I$49,AJ8,'Student_Marks'!$J$2:$J$49,"ESE"))))</f>
        <v>PENDING</v>
      </c>
      <c r="N8" s="9" t="n">
        <f>IF(INDEX('Course_Config'!$H$2:$H$7,AU8)=1,INDEX('Course_Config'!$T$2:$T$7,AU8),0)</f>
        <v>30</v>
      </c>
      <c r="O8" s="9" t="n">
        <f>IF(INDEX('Course_Config'!$I$2:$I$7,AU8)=1,INDEX('Course_Config'!$U$2:$U$7,AU8),0)</f>
        <v>30</v>
      </c>
      <c r="P8" s="9" t="n">
        <f>IF(INDEX('Course_Config'!$J$2:$J$7,AU8)=1,INDEX('Course_Config'!$V$2:$V$7,AU8),0)</f>
        <v>30</v>
      </c>
      <c r="Q8" s="9" t="n">
        <f>SUM(F8,N8:P8)</f>
        <v>180</v>
      </c>
      <c r="R8" s="9" t="n">
        <f>SUM(G8,K8:M8)</f>
        <v>48</v>
      </c>
      <c r="S8" s="11" t="n">
        <f>IF(Q8=0,0,R8/Q8*100)</f>
        <v>26.666666666666668</v>
      </c>
      <c r="T8" s="9" t="n">
        <f>INDEX('Course_Config'!$AG$2:$AG$7,AU8)</f>
        <v>40</v>
      </c>
      <c r="U8" s="9" t="str">
        <f>IF(OR(AR8&lt;&gt;1,AN8&gt;0,AQ8&gt;0),"WITHHELD",IF(J8="TNG","TNG",IF(AL8&lt;AV8,"PENDING",IF(AM8&gt;0,"ABSENT",IF(OR(AO8&gt;0,S8&lt;T8),"FAIL","PASS")))))</f>
        <v>PENDING</v>
      </c>
      <c r="V8" s="9" t="n">
        <f>IF(U8="PASS",IF(E8="Architecture",IF(S8&gt;='Grading_Reference'!B11,'Grading_Reference'!D11,IF(S8&gt;='Grading_Reference'!B12,'Grading_Reference'!D12,IF(S8&gt;='Grading_Reference'!B13,'Grading_Reference'!D13,IF(S8&gt;='Grading_Reference'!B14,'Grading_Reference'!D14,IF(S8&gt;='Grading_Reference'!B15,'Grading_Reference'!D15,IF(S8&gt;='Grading_Reference'!B16,'Grading_Reference'!D16,0)))))),IF(S8&gt;='Grading_Reference'!B2,'Grading_Reference'!D2,IF(S8&gt;='Grading_Reference'!B3,'Grading_Reference'!D3,IF(S8&gt;='Grading_Reference'!B4,'Grading_Reference'!D4,IF(S8&gt;='Grading_Reference'!B5,'Grading_Reference'!D5,IF(S8&gt;='Grading_Reference'!B6,'Grading_Reference'!D6,IF(S8&gt;='Grading_Reference'!B7,'Grading_Reference'!D7,IF(S8&gt;='Grading_Reference'!B8,'Grading_Reference'!D8,0)))))))),0)</f>
        <v>0</v>
      </c>
      <c r="W8" s="9" t="n">
        <f>AH8*V8</f>
        <v>0</v>
      </c>
      <c r="X8" s="11" t="str">
        <f>'SGPA'!F4</f>
        <v>WITHHELD</v>
      </c>
      <c r="Y8" s="9"/>
      <c r="Z8" s="9" t="n">
        <v>0</v>
      </c>
      <c r="AA8" s="9" t="str">
        <f>"NOT_REQUIRED"</f>
        <v>NOT_REQUIRED</v>
      </c>
      <c r="AB8" s="9" t="str">
        <v>NOT_REQUIRED</v>
      </c>
      <c r="AC8" s="9" t="str">
        <f>IF(J8="TNG","TNG",U8)</f>
        <v>PENDING</v>
      </c>
      <c r="AD8" s="9" t="n">
        <f>V8</f>
        <v>0</v>
      </c>
      <c r="AE8" s="9" t="n">
        <f>V8</f>
        <v>0</v>
      </c>
      <c r="AF8" s="9" t="n">
        <f>V8</f>
        <v>0</v>
      </c>
      <c r="AG8" s="9" t="str">
        <f>IF(U8="PASS",IF(E8="Architecture",IF(S8&gt;='Grading_Reference'!B11,'Grading_Reference'!E11,IF(S8&gt;='Grading_Reference'!B12,'Grading_Reference'!E12,IF(S8&gt;='Grading_Reference'!B13,'Grading_Reference'!E13,IF(S8&gt;='Grading_Reference'!B14,'Grading_Reference'!E14,IF(S8&gt;='Grading_Reference'!B15,'Grading_Reference'!E15,IF(S8&gt;='Grading_Reference'!B16,'Grading_Reference'!E16,"F")))))),IF(S8&gt;='Grading_Reference'!B2,'Grading_Reference'!E2,IF(S8&gt;='Grading_Reference'!B3,'Grading_Reference'!E3,IF(S8&gt;='Grading_Reference'!B4,'Grading_Reference'!E4,IF(S8&gt;='Grading_Reference'!B5,'Grading_Reference'!E5,IF(S8&gt;='Grading_Reference'!B6,'Grading_Reference'!E6,IF(S8&gt;='Grading_Reference'!B7,'Grading_Reference'!E7,IF(S8&gt;='Grading_Reference'!B8,'Grading_Reference'!E8,"F")))))))),IF(U8="ABSENT","Ab",IF(U8="FAIL","F",U8)))</f>
        <v>PENDING</v>
      </c>
      <c r="AH8" s="9" t="n">
        <f>INDEX('Course_Config'!$F$2:$F$7,AU8)</f>
        <v>4</v>
      </c>
      <c r="AI8" s="9" t="str">
        <v>2026-27</v>
      </c>
      <c r="AJ8" s="9" t="str">
        <v>Oct 2026 TEST</v>
      </c>
      <c r="AK8" s="9" t="str">
        <v>I</v>
      </c>
      <c r="AL8" s="9" t="n">
        <f>IF(INDEX('Course_Config'!$H$2:$H$7,AU8)=1,COUNTIFS('Student_Marks'!$B$2:$B$49,A8,'Student_Marks'!$F$2:$F$49,C8,'Student_Marks'!$D$2:$D$49,AP8,'Student_Marks'!$E$2:$E$49,AK8,'Student_Marks'!$H$2:$H$49,AI8,'Student_Marks'!$I$2:$I$49,AJ8,'Student_Marks'!$K$2:$K$49,"&gt;=0",'Student_Marks'!$K$2:$K$49,"&lt;&gt;")+COUNTIFS('Student_Marks'!$B$2:$B$49,A8,'Student_Marks'!$F$2:$F$49,C8,'Student_Marks'!$D$2:$D$49,AP8,'Student_Marks'!$E$2:$E$49,AK8,'Student_Marks'!$H$2:$H$49,AI8,'Student_Marks'!$I$2:$I$49,AJ8,'Student_Marks'!$K$2:$K$49,"AB"),0)+IF(INDEX('Course_Config'!$I$2:$I$7,AU8)=1,COUNTIFS('Student_Marks'!$B$2:$B$49,A8,'Student_Marks'!$F$2:$F$49,C8,'Student_Marks'!$D$2:$D$49,AP8,'Student_Marks'!$E$2:$E$49,AK8,'Student_Marks'!$H$2:$H$49,AI8,'Student_Marks'!$I$2:$I$49,AJ8,'Student_Marks'!$L$2:$L$49,"&gt;=0",'Student_Marks'!$L$2:$L$49,"&lt;&gt;")+COUNTIFS('Student_Marks'!$B$2:$B$49,A8,'Student_Marks'!$F$2:$F$49,C8,'Student_Marks'!$D$2:$D$49,AP8,'Student_Marks'!$E$2:$E$49,AK8,'Student_Marks'!$H$2:$H$49,AI8,'Student_Marks'!$I$2:$I$49,AJ8,'Student_Marks'!$L$2:$L$49,"AB"),0)+IF(INDEX('Course_Config'!$J$2:$J$7,AU8)=1,COUNTIFS('Student_Marks'!$B$2:$B$49,A8,'Student_Marks'!$F$2:$F$49,C8,'Student_Marks'!$D$2:$D$49,AP8,'Student_Marks'!$E$2:$E$49,AK8,'Student_Marks'!$H$2:$H$49,AI8,'Student_Marks'!$I$2:$I$49,AJ8,'Student_Marks'!$M$2:$M$49,"&gt;=0",'Student_Marks'!$M$2:$M$49,"&lt;&gt;")+COUNTIFS('Student_Marks'!$B$2:$B$49,A8,'Student_Marks'!$F$2:$F$49,C8,'Student_Marks'!$D$2:$D$49,AP8,'Student_Marks'!$E$2:$E$49,AK8,'Student_Marks'!$H$2:$H$49,AI8,'Student_Marks'!$I$2:$I$49,AJ8,'Student_Marks'!$M$2:$M$49,"AB"),0)</f>
        <v>6</v>
      </c>
      <c r="AM8" s="9" t="n">
        <f>IF(INDEX('Course_Config'!$H$2:$H$7,AU8)=1,COUNTIFS('Student_Marks'!$B$2:$B$49,A8,'Student_Marks'!$F$2:$F$49,C8,'Student_Marks'!$D$2:$D$49,AP8,'Student_Marks'!$E$2:$E$49,AK8,'Student_Marks'!$H$2:$H$49,AI8,'Student_Marks'!$I$2:$I$49,AJ8,'Student_Marks'!$K$2:$K$49,"AB"),0)+IF(INDEX('Course_Config'!$I$2:$I$7,AU8)=1,COUNTIFS('Student_Marks'!$B$2:$B$49,A8,'Student_Marks'!$F$2:$F$49,C8,'Student_Marks'!$D$2:$D$49,AP8,'Student_Marks'!$E$2:$E$49,AK8,'Student_Marks'!$H$2:$H$49,AI8,'Student_Marks'!$I$2:$I$49,AJ8,'Student_Marks'!$L$2:$L$49,"AB"),0)+IF(INDEX('Course_Config'!$J$2:$J$7,AU8)=1,COUNTIFS('Student_Marks'!$B$2:$B$49,A8,'Student_Marks'!$F$2:$F$49,C8,'Student_Marks'!$D$2:$D$49,AP8,'Student_Marks'!$E$2:$E$49,AK8,'Student_Marks'!$H$2:$H$49,AI8,'Student_Marks'!$I$2:$I$49,AJ8,'Student_Marks'!$M$2:$M$49,"AB"),0)</f>
        <v>0</v>
      </c>
      <c r="AN8" s="9" t="n">
        <f>COUNTIFS('Student_Marks'!$B$2:$B$49,A8,'Student_Marks'!$F$2:$F$49,C8,'Student_Marks'!$D$2:$D$49,AP8,'Student_Marks'!$E$2:$E$49,AK8,'Student_Marks'!$H$2:$H$49,AI8,'Student_Marks'!$I$2:$I$49,AJ8,'Student_Marks'!$Q$2:$Q$49,"INVALID")</f>
        <v>0</v>
      </c>
      <c r="AO8" s="9" t="n">
        <f>IF(AND(N8&gt;0,ISNUMBER(K8)),IF(K8&lt;IF(INDEX('Course_Config'!$AH$2:$AH$7,AU8)=1,ROUNDUP(N8*INDEX('Course_Config'!$AC$2:$AC$7,AU8)/100,0),N8*INDEX('Course_Config'!$AC$2:$AC$7,AU8)/100),1,0),0)+IF(AND(O8&gt;0,ISNUMBER(L8)),IF(L8&lt;IF(INDEX('Course_Config'!$AH$2:$AH$7,AU8)=1,ROUNDUP(O8*INDEX('Course_Config'!$AD$2:$AD$7,AU8)/100,0),O8*INDEX('Course_Config'!$AD$2:$AD$7,AU8)/100),1,0),0)+IF(AND(P8&gt;0,ISNUMBER(M8)),IF(M8&lt;IF(INDEX('Course_Config'!$AH$2:$AH$7,AU8)=1,ROUNDUP(P8*INDEX('Course_Config'!$AE$2:$AE$7,AU8)/100,0),P8*INDEX('Course_Config'!$AE$2:$AE$7,AU8)/100),1,0),0)</f>
        <v>0</v>
      </c>
      <c r="AP8" s="9" t="str">
        <v>[TEST] B.Tech. Construction Engineering &amp; Management</v>
      </c>
      <c r="AQ8" s="9" t="n">
        <f>IF(COUNTIFS('Student_Marks'!$B$2:$B$49,A8,'Student_Marks'!$F$2:$F$49,C8,'Student_Marks'!$D$2:$D$49,AP8,'Student_Marks'!$E$2:$E$49,AK8,'Student_Marks'!$H$2:$H$49,AI8,'Student_Marks'!$I$2:$I$49,AJ8,'Student_Marks'!$J$2:$J$49,"CA1")&gt;1,1,0)+IF(COUNTIFS('Student_Marks'!$B$2:$B$49,A8,'Student_Marks'!$F$2:$F$49,C8,'Student_Marks'!$D$2:$D$49,AP8,'Student_Marks'!$E$2:$E$49,AK8,'Student_Marks'!$H$2:$H$49,AI8,'Student_Marks'!$I$2:$I$49,AJ8,'Student_Marks'!$J$2:$J$49,"CA2")&gt;1,1,0)+IF(COUNTIFS('Student_Marks'!$B$2:$B$49,A8,'Student_Marks'!$F$2:$F$49,C8,'Student_Marks'!$D$2:$D$49,AP8,'Student_Marks'!$E$2:$E$49,AK8,'Student_Marks'!$H$2:$H$49,AI8,'Student_Marks'!$I$2:$I$49,AJ8,'Student_Marks'!$J$2:$J$49,"CA3")&gt;1,1,0)+IF(COUNTIFS('Student_Marks'!$B$2:$B$49,A8,'Student_Marks'!$F$2:$F$49,C8,'Student_Marks'!$D$2:$D$49,AP8,'Student_Marks'!$E$2:$E$49,AK8,'Student_Marks'!$H$2:$H$49,AI8,'Student_Marks'!$I$2:$I$49,AJ8,'Student_Marks'!$J$2:$J$49,"ESE")&gt;1,1,0)</f>
        <v>0</v>
      </c>
      <c r="AR8" s="9" t="n">
        <f>INDEX('Course_Config'!$AJ$2:$AJ$7,AU8)</f>
        <v>1</v>
      </c>
      <c r="AS8" s="9" t="str">
        <f>IF(J8="TG","ELIGIBLE","NOT_ELIGIBLE")</f>
        <v>NOT_ELIGIBLE</v>
      </c>
      <c r="AT8" s="9" t="str">
        <v>TEST-1</v>
      </c>
      <c r="AU8" s="9" t="n">
        <f>SUMIFS('Course_Config'!$AK$2:$AK$7,'Course_Config'!$AA$2:$AA$7,AP8&amp;"|"&amp;C8&amp;"|"&amp;AK8)</f>
        <v>1</v>
      </c>
      <c r="AV8" s="9" t="n">
        <f>4*SUM(INDEX('Course_Config'!$H$2:$H$7,AU8),INDEX('Course_Config'!$I$2:$I$7,AU8),INDEX('Course_Config'!$J$2:$J$7,AU8))</f>
        <v>12</v>
      </c>
    </row>
    <row r="9">
      <c r="A9" s="9" t="str">
        <v>TEST1005</v>
      </c>
      <c r="B9" s="9" t="str">
        <v>Test Student 1-05 (PENDING)</v>
      </c>
      <c r="C9" s="9" t="str">
        <v>T102</v>
      </c>
      <c r="D9" s="9" t="str">
        <v>Applied Studio &amp; Skills</v>
      </c>
      <c r="E9" s="9" t="str">
        <f>INDEX('Course_Config'!$E$2:$E$7,AU9)</f>
        <v>Non-Architecture</v>
      </c>
      <c r="F9" s="9" t="n">
        <f>IF(INDEX('Course_Config'!$H$2:$H$7,AU9)=1,SUM(INDEX('Course_Config'!$K$2:$K$7,AU9),INDEX('Course_Config'!$L$2:$L$7,AU9),INDEX('Course_Config'!$M$2:$M$7,AU9)),0)+IF(INDEX('Course_Config'!$I$2:$I$7,AU9)=1,SUM(INDEX('Course_Config'!$N$2:$N$7,AU9),INDEX('Course_Config'!$O$2:$O$7,AU9),INDEX('Course_Config'!$P$2:$P$7,AU9)),0)+IF(INDEX('Course_Config'!$J$2:$J$7,AU9)=1,SUM(INDEX('Course_Config'!$Q$2:$Q$7,AU9),INDEX('Course_Config'!$R$2:$R$7,AU9),INDEX('Course_Config'!$S$2:$S$7,AU9)),0)</f>
        <v>60</v>
      </c>
      <c r="G9" s="9" t="n">
        <f>IF(INDEX('Course_Config'!$H$2:$H$7,AU9)=1,SUM(SUMIFS('Student_Marks'!$K$2:$K$49,'Student_Marks'!$B$2:$B$49,A9,'Student_Marks'!$F$2:$F$49,C9,'Student_Marks'!$D$2:$D$49,AP9,'Student_Marks'!$E$2:$E$49,AK9,'Student_Marks'!$H$2:$H$49,AI9,'Student_Marks'!$I$2:$I$49,AJ9,'Student_Marks'!$J$2:$J$49,"CA1"),SUMIFS('Student_Marks'!$K$2:$K$49,'Student_Marks'!$B$2:$B$49,A9,'Student_Marks'!$F$2:$F$49,C9,'Student_Marks'!$D$2:$D$49,AP9,'Student_Marks'!$E$2:$E$49,AK9,'Student_Marks'!$H$2:$H$49,AI9,'Student_Marks'!$I$2:$I$49,AJ9,'Student_Marks'!$J$2:$J$49,"CA2"),SUMIFS('Student_Marks'!$K$2:$K$49,'Student_Marks'!$B$2:$B$49,A9,'Student_Marks'!$F$2:$F$49,C9,'Student_Marks'!$D$2:$D$49,AP9,'Student_Marks'!$E$2:$E$49,AK9,'Student_Marks'!$H$2:$H$49,AI9,'Student_Marks'!$I$2:$I$49,AJ9,'Student_Marks'!$J$2:$J$49,"CA3")),0)+IF(INDEX('Course_Config'!$I$2:$I$7,AU9)=1,SUM(SUMIFS('Student_Marks'!$L$2:$L$49,'Student_Marks'!$B$2:$B$49,A9,'Student_Marks'!$F$2:$F$49,C9,'Student_Marks'!$D$2:$D$49,AP9,'Student_Marks'!$E$2:$E$49,AK9,'Student_Marks'!$H$2:$H$49,AI9,'Student_Marks'!$I$2:$I$49,AJ9,'Student_Marks'!$J$2:$J$49,"CA1"),SUMIFS('Student_Marks'!$L$2:$L$49,'Student_Marks'!$B$2:$B$49,A9,'Student_Marks'!$F$2:$F$49,C9,'Student_Marks'!$D$2:$D$49,AP9,'Student_Marks'!$E$2:$E$49,AK9,'Student_Marks'!$H$2:$H$49,AI9,'Student_Marks'!$I$2:$I$49,AJ9,'Student_Marks'!$J$2:$J$49,"CA2"),SUMIFS('Student_Marks'!$L$2:$L$49,'Student_Marks'!$B$2:$B$49,A9,'Student_Marks'!$F$2:$F$49,C9,'Student_Marks'!$D$2:$D$49,AP9,'Student_Marks'!$E$2:$E$49,AK9,'Student_Marks'!$H$2:$H$49,AI9,'Student_Marks'!$I$2:$I$49,AJ9,'Student_Marks'!$J$2:$J$49,"CA3")),0)+IF(INDEX('Course_Config'!$J$2:$J$7,AU9)=1,SUM(SUMIFS('Student_Marks'!$M$2:$M$49,'Student_Marks'!$B$2:$B$49,A9,'Student_Marks'!$F$2:$F$49,C9,'Student_Marks'!$D$2:$D$49,AP9,'Student_Marks'!$E$2:$E$49,AK9,'Student_Marks'!$H$2:$H$49,AI9,'Student_Marks'!$I$2:$I$49,AJ9,'Student_Marks'!$J$2:$J$49,"CA1"),SUMIFS('Student_Marks'!$M$2:$M$49,'Student_Marks'!$B$2:$B$49,A9,'Student_Marks'!$F$2:$F$49,C9,'Student_Marks'!$D$2:$D$49,AP9,'Student_Marks'!$E$2:$E$49,AK9,'Student_Marks'!$H$2:$H$49,AI9,'Student_Marks'!$I$2:$I$49,AJ9,'Student_Marks'!$J$2:$J$49,"CA2"),SUMIFS('Student_Marks'!$M$2:$M$49,'Student_Marks'!$B$2:$B$49,A9,'Student_Marks'!$F$2:$F$49,C9,'Student_Marks'!$D$2:$D$49,AP9,'Student_Marks'!$E$2:$E$49,AK9,'Student_Marks'!$H$2:$H$49,AI9,'Student_Marks'!$I$2:$I$49,AJ9,'Student_Marks'!$J$2:$J$49,"CA3")),0)</f>
        <v>32</v>
      </c>
      <c r="H9" s="9" t="n">
        <f>IF(F9=0,0,G9/F9*100)</f>
        <v>53.333333333333336</v>
      </c>
      <c r="I9" s="9" t="n">
        <f>IF(INDEX('Course_Config'!$AH$2:$AH$7,AU9)=1,ROUNDUP(F9*INDEX('Course_Config'!$AF$2:$AF$7,AU9)/100,0),F9*INDEX('Course_Config'!$AF$2:$AF$7,AU9)/100)</f>
        <v>24</v>
      </c>
      <c r="J9" s="9" t="str">
        <f>IF((IF(INDEX('Course_Config'!$H$2:$H$7,AU9)=1,COUNTIFS('Student_Marks'!$B$2:$B$49,A9,'Student_Marks'!$F$2:$F$49,C9,'Student_Marks'!$D$2:$D$49,AP9,'Student_Marks'!$E$2:$E$49,AK9,'Student_Marks'!$H$2:$H$49,AI9,'Student_Marks'!$I$2:$I$49,AJ9,'Student_Marks'!$J$2:$J$49,"CA1",'Student_Marks'!$K$2:$K$49,"&gt;=0",'Student_Marks'!$K$2:$K$49,"&lt;&gt;"),0)+IF(INDEX('Course_Config'!$I$2:$I$7,AU9)=1,COUNTIFS('Student_Marks'!$B$2:$B$49,A9,'Student_Marks'!$F$2:$F$49,C9,'Student_Marks'!$D$2:$D$49,AP9,'Student_Marks'!$E$2:$E$49,AK9,'Student_Marks'!$H$2:$H$49,AI9,'Student_Marks'!$I$2:$I$49,AJ9,'Student_Marks'!$J$2:$J$49,"CA1",'Student_Marks'!$L$2:$L$49,"&gt;=0",'Student_Marks'!$L$2:$L$49,"&lt;&gt;"),0)+IF(INDEX('Course_Config'!$J$2:$J$7,AU9)=1,COUNTIFS('Student_Marks'!$B$2:$B$49,A9,'Student_Marks'!$F$2:$F$49,C9,'Student_Marks'!$D$2:$D$49,AP9,'Student_Marks'!$E$2:$E$49,AK9,'Student_Marks'!$H$2:$H$49,AI9,'Student_Marks'!$I$2:$I$49,AJ9,'Student_Marks'!$J$2:$J$49,"CA1",'Student_Marks'!$M$2:$M$49,"&gt;=0",'Student_Marks'!$M$2:$M$49,"&lt;&gt;"),0)+IF(INDEX('Course_Config'!$H$2:$H$7,AU9)=1,COUNTIFS('Student_Marks'!$B$2:$B$49,A9,'Student_Marks'!$F$2:$F$49,C9,'Student_Marks'!$D$2:$D$49,AP9,'Student_Marks'!$E$2:$E$49,AK9,'Student_Marks'!$H$2:$H$49,AI9,'Student_Marks'!$I$2:$I$49,AJ9,'Student_Marks'!$J$2:$J$49,"CA2",'Student_Marks'!$K$2:$K$49,"&gt;=0",'Student_Marks'!$K$2:$K$49,"&lt;&gt;"),0)+IF(INDEX('Course_Config'!$I$2:$I$7,AU9)=1,COUNTIFS('Student_Marks'!$B$2:$B$49,A9,'Student_Marks'!$F$2:$F$49,C9,'Student_Marks'!$D$2:$D$49,AP9,'Student_Marks'!$E$2:$E$49,AK9,'Student_Marks'!$H$2:$H$49,AI9,'Student_Marks'!$I$2:$I$49,AJ9,'Student_Marks'!$J$2:$J$49,"CA2",'Student_Marks'!$L$2:$L$49,"&gt;=0",'Student_Marks'!$L$2:$L$49,"&lt;&gt;"),0)+IF(INDEX('Course_Config'!$J$2:$J$7,AU9)=1,COUNTIFS('Student_Marks'!$B$2:$B$49,A9,'Student_Marks'!$F$2:$F$49,C9,'Student_Marks'!$D$2:$D$49,AP9,'Student_Marks'!$E$2:$E$49,AK9,'Student_Marks'!$H$2:$H$49,AI9,'Student_Marks'!$I$2:$I$49,AJ9,'Student_Marks'!$J$2:$J$49,"CA2",'Student_Marks'!$M$2:$M$49,"&gt;=0",'Student_Marks'!$M$2:$M$49,"&lt;&gt;"),0)+IF(INDEX('Course_Config'!$H$2:$H$7,AU9)=1,COUNTIFS('Student_Marks'!$B$2:$B$49,A9,'Student_Marks'!$F$2:$F$49,C9,'Student_Marks'!$D$2:$D$49,AP9,'Student_Marks'!$E$2:$E$49,AK9,'Student_Marks'!$H$2:$H$49,AI9,'Student_Marks'!$I$2:$I$49,AJ9,'Student_Marks'!$J$2:$J$49,"CA3",'Student_Marks'!$K$2:$K$49,"&gt;=0",'Student_Marks'!$K$2:$K$49,"&lt;&gt;"),0)+IF(INDEX('Course_Config'!$I$2:$I$7,AU9)=1,COUNTIFS('Student_Marks'!$B$2:$B$49,A9,'Student_Marks'!$F$2:$F$49,C9,'Student_Marks'!$D$2:$D$49,AP9,'Student_Marks'!$E$2:$E$49,AK9,'Student_Marks'!$H$2:$H$49,AI9,'Student_Marks'!$I$2:$I$49,AJ9,'Student_Marks'!$J$2:$J$49,"CA3",'Student_Marks'!$L$2:$L$49,"&gt;=0",'Student_Marks'!$L$2:$L$49,"&lt;&gt;"),0)+IF(INDEX('Course_Config'!$J$2:$J$7,AU9)=1,COUNTIFS('Student_Marks'!$B$2:$B$49,A9,'Student_Marks'!$F$2:$F$49,C9,'Student_Marks'!$D$2:$D$49,AP9,'Student_Marks'!$E$2:$E$49,AK9,'Student_Marks'!$H$2:$H$49,AI9,'Student_Marks'!$I$2:$I$49,AJ9,'Student_Marks'!$J$2:$J$49,"CA3",'Student_Marks'!$M$2:$M$49,"&gt;=0",'Student_Marks'!$M$2:$M$49,"&lt;&gt;"),0))&lt;AV9*3/4,"PENDING",IF(G9&lt;I9,"TNG","TG"))</f>
        <v>PENDING</v>
      </c>
      <c r="K9" s="9" t="str">
        <f>IF(INDEX('Course_Config'!$H$2:$H$7,AU9)=0,"N/A",IF(COUNTIFS('Student_Marks'!$B$2:$B$49,A9,'Student_Marks'!$F$2:$F$49,C9,'Student_Marks'!$D$2:$D$49,AP9,'Student_Marks'!$E$2:$E$49,AK9,'Student_Marks'!$H$2:$H$49,AI9,'Student_Marks'!$I$2:$I$49,AJ9,'Student_Marks'!$J$2:$J$49,"ESE",'Student_Marks'!$K$2:$K$49,"AB")&gt;0,"AB",IF(COUNTIFS('Student_Marks'!$B$2:$B$49,A9,'Student_Marks'!$F$2:$F$49,C9,'Student_Marks'!$D$2:$D$49,AP9,'Student_Marks'!$E$2:$E$49,AK9,'Student_Marks'!$H$2:$H$49,AI9,'Student_Marks'!$I$2:$I$49,AJ9,'Student_Marks'!$J$2:$J$49,"ESE",'Student_Marks'!$K$2:$K$49,"&gt;=0",'Student_Marks'!$K$2:$K$49,"&lt;&gt;")=0,"PENDING",SUMIFS('Student_Marks'!$K$2:$K$49,'Student_Marks'!$B$2:$B$49,A9,'Student_Marks'!$F$2:$F$49,C9,'Student_Marks'!$D$2:$D$49,AP9,'Student_Marks'!$E$2:$E$49,AK9,'Student_Marks'!$H$2:$H$49,AI9,'Student_Marks'!$I$2:$I$49,AJ9,'Student_Marks'!$J$2:$J$49,"ESE"))))</f>
        <v>N/A</v>
      </c>
      <c r="L9" s="9" t="str">
        <f>IF(INDEX('Course_Config'!$I$2:$I$7,AU9)=0,"N/A",IF(COUNTIFS('Student_Marks'!$B$2:$B$49,A9,'Student_Marks'!$F$2:$F$49,C9,'Student_Marks'!$D$2:$D$49,AP9,'Student_Marks'!$E$2:$E$49,AK9,'Student_Marks'!$H$2:$H$49,AI9,'Student_Marks'!$I$2:$I$49,AJ9,'Student_Marks'!$J$2:$J$49,"ESE",'Student_Marks'!$L$2:$L$49,"AB")&gt;0,"AB",IF(COUNTIFS('Student_Marks'!$B$2:$B$49,A9,'Student_Marks'!$F$2:$F$49,C9,'Student_Marks'!$D$2:$D$49,AP9,'Student_Marks'!$E$2:$E$49,AK9,'Student_Marks'!$H$2:$H$49,AI9,'Student_Marks'!$I$2:$I$49,AJ9,'Student_Marks'!$J$2:$J$49,"ESE",'Student_Marks'!$L$2:$L$49,"&gt;=0",'Student_Marks'!$L$2:$L$49,"&lt;&gt;")=0,"PENDING",SUMIFS('Student_Marks'!$L$2:$L$49,'Student_Marks'!$B$2:$B$49,A9,'Student_Marks'!$F$2:$F$49,C9,'Student_Marks'!$D$2:$D$49,AP9,'Student_Marks'!$E$2:$E$49,AK9,'Student_Marks'!$H$2:$H$49,AI9,'Student_Marks'!$I$2:$I$49,AJ9,'Student_Marks'!$J$2:$J$49,"ESE"))))</f>
        <v>PENDING</v>
      </c>
      <c r="M9" s="9" t="str">
        <f>IF(INDEX('Course_Config'!$J$2:$J$7,AU9)=0,"N/A",IF(COUNTIFS('Student_Marks'!$B$2:$B$49,A9,'Student_Marks'!$F$2:$F$49,C9,'Student_Marks'!$D$2:$D$49,AP9,'Student_Marks'!$E$2:$E$49,AK9,'Student_Marks'!$H$2:$H$49,AI9,'Student_Marks'!$I$2:$I$49,AJ9,'Student_Marks'!$J$2:$J$49,"ESE",'Student_Marks'!$M$2:$M$49,"AB")&gt;0,"AB",IF(COUNTIFS('Student_Marks'!$B$2:$B$49,A9,'Student_Marks'!$F$2:$F$49,C9,'Student_Marks'!$D$2:$D$49,AP9,'Student_Marks'!$E$2:$E$49,AK9,'Student_Marks'!$H$2:$H$49,AI9,'Student_Marks'!$I$2:$I$49,AJ9,'Student_Marks'!$J$2:$J$49,"ESE",'Student_Marks'!$M$2:$M$49,"&gt;=0",'Student_Marks'!$M$2:$M$49,"&lt;&gt;")=0,"PENDING",SUMIFS('Student_Marks'!$M$2:$M$49,'Student_Marks'!$B$2:$B$49,A9,'Student_Marks'!$F$2:$F$49,C9,'Student_Marks'!$D$2:$D$49,AP9,'Student_Marks'!$E$2:$E$49,AK9,'Student_Marks'!$H$2:$H$49,AI9,'Student_Marks'!$I$2:$I$49,AJ9,'Student_Marks'!$J$2:$J$49,"ESE"))))</f>
        <v>PENDING</v>
      </c>
      <c r="N9" s="9" t="n">
        <f>IF(INDEX('Course_Config'!$H$2:$H$7,AU9)=1,INDEX('Course_Config'!$T$2:$T$7,AU9),0)</f>
        <v>0</v>
      </c>
      <c r="O9" s="9" t="n">
        <f>IF(INDEX('Course_Config'!$I$2:$I$7,AU9)=1,INDEX('Course_Config'!$U$2:$U$7,AU9),0)</f>
        <v>30</v>
      </c>
      <c r="P9" s="9" t="n">
        <f>IF(INDEX('Course_Config'!$J$2:$J$7,AU9)=1,INDEX('Course_Config'!$V$2:$V$7,AU9),0)</f>
        <v>30</v>
      </c>
      <c r="Q9" s="9" t="n">
        <f>SUM(F9,N9:P9)</f>
        <v>120</v>
      </c>
      <c r="R9" s="9" t="n">
        <f>SUM(G9,K9:M9)</f>
        <v>32</v>
      </c>
      <c r="S9" s="11" t="n">
        <f>IF(Q9=0,0,R9/Q9*100)</f>
        <v>26.666666666666668</v>
      </c>
      <c r="T9" s="9" t="n">
        <f>INDEX('Course_Config'!$AG$2:$AG$7,AU9)</f>
        <v>40</v>
      </c>
      <c r="U9" s="9" t="str">
        <f>IF(OR(AR9&lt;&gt;1,AN9&gt;0,AQ9&gt;0),"WITHHELD",IF(J9="TNG","TNG",IF(AL9&lt;AV9,"PENDING",IF(AM9&gt;0,"ABSENT",IF(OR(AO9&gt;0,S9&lt;T9),"FAIL","PASS")))))</f>
        <v>PENDING</v>
      </c>
      <c r="V9" s="9" t="n">
        <f>IF(U9="PASS",IF(E9="Architecture",IF(S9&gt;='Grading_Reference'!B11,'Grading_Reference'!D11,IF(S9&gt;='Grading_Reference'!B12,'Grading_Reference'!D12,IF(S9&gt;='Grading_Reference'!B13,'Grading_Reference'!D13,IF(S9&gt;='Grading_Reference'!B14,'Grading_Reference'!D14,IF(S9&gt;='Grading_Reference'!B15,'Grading_Reference'!D15,IF(S9&gt;='Grading_Reference'!B16,'Grading_Reference'!D16,0)))))),IF(S9&gt;='Grading_Reference'!B2,'Grading_Reference'!D2,IF(S9&gt;='Grading_Reference'!B3,'Grading_Reference'!D3,IF(S9&gt;='Grading_Reference'!B4,'Grading_Reference'!D4,IF(S9&gt;='Grading_Reference'!B5,'Grading_Reference'!D5,IF(S9&gt;='Grading_Reference'!B6,'Grading_Reference'!D6,IF(S9&gt;='Grading_Reference'!B7,'Grading_Reference'!D7,IF(S9&gt;='Grading_Reference'!B8,'Grading_Reference'!D8,0)))))))),0)</f>
        <v>0</v>
      </c>
      <c r="W9" s="9" t="n">
        <f>AH9*V9</f>
        <v>0</v>
      </c>
      <c r="X9" s="11" t="str">
        <f>'SGPA'!F4</f>
        <v>WITHHELD</v>
      </c>
      <c r="Y9" s="9"/>
      <c r="Z9" s="9" t="n">
        <v>0</v>
      </c>
      <c r="AA9" s="9" t="str">
        <f>"NOT_REQUIRED"</f>
        <v>NOT_REQUIRED</v>
      </c>
      <c r="AB9" s="9" t="str">
        <v>NOT_REQUIRED</v>
      </c>
      <c r="AC9" s="9" t="str">
        <f>IF(J9="TNG","TNG",U9)</f>
        <v>PENDING</v>
      </c>
      <c r="AD9" s="9" t="n">
        <f>V9</f>
        <v>0</v>
      </c>
      <c r="AE9" s="9" t="n">
        <f>V9</f>
        <v>0</v>
      </c>
      <c r="AF9" s="9" t="n">
        <f>V9</f>
        <v>0</v>
      </c>
      <c r="AG9" s="9" t="str">
        <f>IF(U9="PASS",IF(E9="Architecture",IF(S9&gt;='Grading_Reference'!B11,'Grading_Reference'!E11,IF(S9&gt;='Grading_Reference'!B12,'Grading_Reference'!E12,IF(S9&gt;='Grading_Reference'!B13,'Grading_Reference'!E13,IF(S9&gt;='Grading_Reference'!B14,'Grading_Reference'!E14,IF(S9&gt;='Grading_Reference'!B15,'Grading_Reference'!E15,IF(S9&gt;='Grading_Reference'!B16,'Grading_Reference'!E16,"F")))))),IF(S9&gt;='Grading_Reference'!B2,'Grading_Reference'!E2,IF(S9&gt;='Grading_Reference'!B3,'Grading_Reference'!E3,IF(S9&gt;='Grading_Reference'!B4,'Grading_Reference'!E4,IF(S9&gt;='Grading_Reference'!B5,'Grading_Reference'!E5,IF(S9&gt;='Grading_Reference'!B6,'Grading_Reference'!E6,IF(S9&gt;='Grading_Reference'!B7,'Grading_Reference'!E7,IF(S9&gt;='Grading_Reference'!B8,'Grading_Reference'!E8,"F")))))))),IF(U9="ABSENT","Ab",IF(U9="FAIL","F",U9)))</f>
        <v>PENDING</v>
      </c>
      <c r="AH9" s="9" t="n">
        <f>INDEX('Course_Config'!$F$2:$F$7,AU9)</f>
        <v>3</v>
      </c>
      <c r="AI9" s="9" t="str">
        <v>2026-27</v>
      </c>
      <c r="AJ9" s="9" t="str">
        <v>Oct 2026 TEST</v>
      </c>
      <c r="AK9" s="9" t="str">
        <v>I</v>
      </c>
      <c r="AL9" s="9" t="n">
        <f>IF(INDEX('Course_Config'!$H$2:$H$7,AU9)=1,COUNTIFS('Student_Marks'!$B$2:$B$49,A9,'Student_Marks'!$F$2:$F$49,C9,'Student_Marks'!$D$2:$D$49,AP9,'Student_Marks'!$E$2:$E$49,AK9,'Student_Marks'!$H$2:$H$49,AI9,'Student_Marks'!$I$2:$I$49,AJ9,'Student_Marks'!$K$2:$K$49,"&gt;=0",'Student_Marks'!$K$2:$K$49,"&lt;&gt;")+COUNTIFS('Student_Marks'!$B$2:$B$49,A9,'Student_Marks'!$F$2:$F$49,C9,'Student_Marks'!$D$2:$D$49,AP9,'Student_Marks'!$E$2:$E$49,AK9,'Student_Marks'!$H$2:$H$49,AI9,'Student_Marks'!$I$2:$I$49,AJ9,'Student_Marks'!$K$2:$K$49,"AB"),0)+IF(INDEX('Course_Config'!$I$2:$I$7,AU9)=1,COUNTIFS('Student_Marks'!$B$2:$B$49,A9,'Student_Marks'!$F$2:$F$49,C9,'Student_Marks'!$D$2:$D$49,AP9,'Student_Marks'!$E$2:$E$49,AK9,'Student_Marks'!$H$2:$H$49,AI9,'Student_Marks'!$I$2:$I$49,AJ9,'Student_Marks'!$L$2:$L$49,"&gt;=0",'Student_Marks'!$L$2:$L$49,"&lt;&gt;")+COUNTIFS('Student_Marks'!$B$2:$B$49,A9,'Student_Marks'!$F$2:$F$49,C9,'Student_Marks'!$D$2:$D$49,AP9,'Student_Marks'!$E$2:$E$49,AK9,'Student_Marks'!$H$2:$H$49,AI9,'Student_Marks'!$I$2:$I$49,AJ9,'Student_Marks'!$L$2:$L$49,"AB"),0)+IF(INDEX('Course_Config'!$J$2:$J$7,AU9)=1,COUNTIFS('Student_Marks'!$B$2:$B$49,A9,'Student_Marks'!$F$2:$F$49,C9,'Student_Marks'!$D$2:$D$49,AP9,'Student_Marks'!$E$2:$E$49,AK9,'Student_Marks'!$H$2:$H$49,AI9,'Student_Marks'!$I$2:$I$49,AJ9,'Student_Marks'!$M$2:$M$49,"&gt;=0",'Student_Marks'!$M$2:$M$49,"&lt;&gt;")+COUNTIFS('Student_Marks'!$B$2:$B$49,A9,'Student_Marks'!$F$2:$F$49,C9,'Student_Marks'!$D$2:$D$49,AP9,'Student_Marks'!$E$2:$E$49,AK9,'Student_Marks'!$H$2:$H$49,AI9,'Student_Marks'!$I$2:$I$49,AJ9,'Student_Marks'!$M$2:$M$49,"AB"),0)</f>
        <v>4</v>
      </c>
      <c r="AM9" s="9" t="n">
        <f>IF(INDEX('Course_Config'!$H$2:$H$7,AU9)=1,COUNTIFS('Student_Marks'!$B$2:$B$49,A9,'Student_Marks'!$F$2:$F$49,C9,'Student_Marks'!$D$2:$D$49,AP9,'Student_Marks'!$E$2:$E$49,AK9,'Student_Marks'!$H$2:$H$49,AI9,'Student_Marks'!$I$2:$I$49,AJ9,'Student_Marks'!$K$2:$K$49,"AB"),0)+IF(INDEX('Course_Config'!$I$2:$I$7,AU9)=1,COUNTIFS('Student_Marks'!$B$2:$B$49,A9,'Student_Marks'!$F$2:$F$49,C9,'Student_Marks'!$D$2:$D$49,AP9,'Student_Marks'!$E$2:$E$49,AK9,'Student_Marks'!$H$2:$H$49,AI9,'Student_Marks'!$I$2:$I$49,AJ9,'Student_Marks'!$L$2:$L$49,"AB"),0)+IF(INDEX('Course_Config'!$J$2:$J$7,AU9)=1,COUNTIFS('Student_Marks'!$B$2:$B$49,A9,'Student_Marks'!$F$2:$F$49,C9,'Student_Marks'!$D$2:$D$49,AP9,'Student_Marks'!$E$2:$E$49,AK9,'Student_Marks'!$H$2:$H$49,AI9,'Student_Marks'!$I$2:$I$49,AJ9,'Student_Marks'!$M$2:$M$49,"AB"),0)</f>
        <v>0</v>
      </c>
      <c r="AN9" s="9" t="n">
        <f>COUNTIFS('Student_Marks'!$B$2:$B$49,A9,'Student_Marks'!$F$2:$F$49,C9,'Student_Marks'!$D$2:$D$49,AP9,'Student_Marks'!$E$2:$E$49,AK9,'Student_Marks'!$H$2:$H$49,AI9,'Student_Marks'!$I$2:$I$49,AJ9,'Student_Marks'!$Q$2:$Q$49,"INVALID")</f>
        <v>0</v>
      </c>
      <c r="AO9" s="9" t="n">
        <f>IF(AND(N9&gt;0,ISNUMBER(K9)),IF(K9&lt;IF(INDEX('Course_Config'!$AH$2:$AH$7,AU9)=1,ROUNDUP(N9*INDEX('Course_Config'!$AC$2:$AC$7,AU9)/100,0),N9*INDEX('Course_Config'!$AC$2:$AC$7,AU9)/100),1,0),0)+IF(AND(O9&gt;0,ISNUMBER(L9)),IF(L9&lt;IF(INDEX('Course_Config'!$AH$2:$AH$7,AU9)=1,ROUNDUP(O9*INDEX('Course_Config'!$AD$2:$AD$7,AU9)/100,0),O9*INDEX('Course_Config'!$AD$2:$AD$7,AU9)/100),1,0),0)+IF(AND(P9&gt;0,ISNUMBER(M9)),IF(M9&lt;IF(INDEX('Course_Config'!$AH$2:$AH$7,AU9)=1,ROUNDUP(P9*INDEX('Course_Config'!$AE$2:$AE$7,AU9)/100,0),P9*INDEX('Course_Config'!$AE$2:$AE$7,AU9)/100),1,0),0)</f>
        <v>0</v>
      </c>
      <c r="AP9" s="9" t="str">
        <v>[TEST] B.Tech. Construction Engineering &amp; Management</v>
      </c>
      <c r="AQ9" s="9" t="n">
        <f>IF(COUNTIFS('Student_Marks'!$B$2:$B$49,A9,'Student_Marks'!$F$2:$F$49,C9,'Student_Marks'!$D$2:$D$49,AP9,'Student_Marks'!$E$2:$E$49,AK9,'Student_Marks'!$H$2:$H$49,AI9,'Student_Marks'!$I$2:$I$49,AJ9,'Student_Marks'!$J$2:$J$49,"CA1")&gt;1,1,0)+IF(COUNTIFS('Student_Marks'!$B$2:$B$49,A9,'Student_Marks'!$F$2:$F$49,C9,'Student_Marks'!$D$2:$D$49,AP9,'Student_Marks'!$E$2:$E$49,AK9,'Student_Marks'!$H$2:$H$49,AI9,'Student_Marks'!$I$2:$I$49,AJ9,'Student_Marks'!$J$2:$J$49,"CA2")&gt;1,1,0)+IF(COUNTIFS('Student_Marks'!$B$2:$B$49,A9,'Student_Marks'!$F$2:$F$49,C9,'Student_Marks'!$D$2:$D$49,AP9,'Student_Marks'!$E$2:$E$49,AK9,'Student_Marks'!$H$2:$H$49,AI9,'Student_Marks'!$I$2:$I$49,AJ9,'Student_Marks'!$J$2:$J$49,"CA3")&gt;1,1,0)+IF(COUNTIFS('Student_Marks'!$B$2:$B$49,A9,'Student_Marks'!$F$2:$F$49,C9,'Student_Marks'!$D$2:$D$49,AP9,'Student_Marks'!$E$2:$E$49,AK9,'Student_Marks'!$H$2:$H$49,AI9,'Student_Marks'!$I$2:$I$49,AJ9,'Student_Marks'!$J$2:$J$49,"ESE")&gt;1,1,0)</f>
        <v>0</v>
      </c>
      <c r="AR9" s="9" t="n">
        <f>INDEX('Course_Config'!$AJ$2:$AJ$7,AU9)</f>
        <v>1</v>
      </c>
      <c r="AS9" s="9" t="str">
        <f>IF(J9="TG","ELIGIBLE","NOT_ELIGIBLE")</f>
        <v>NOT_ELIGIBLE</v>
      </c>
      <c r="AT9" s="9" t="str">
        <v>TEST-1</v>
      </c>
      <c r="AU9" s="9" t="n">
        <f>SUMIFS('Course_Config'!$AK$2:$AK$7,'Course_Config'!$AA$2:$AA$7,AP9&amp;"|"&amp;C9&amp;"|"&amp;AK9)</f>
        <v>2</v>
      </c>
      <c r="AV9" s="9" t="n">
        <f>4*SUM(INDEX('Course_Config'!$H$2:$H$7,AU9),INDEX('Course_Config'!$I$2:$I$7,AU9),INDEX('Course_Config'!$J$2:$J$7,AU9))</f>
        <v>8</v>
      </c>
    </row>
    <row r="10">
      <c r="A10" s="9" t="str">
        <v>TEST1005</v>
      </c>
      <c r="B10" s="9" t="str">
        <v>Test Student 1-05 (PENDING)</v>
      </c>
      <c r="C10" s="9" t="str">
        <v>T103</v>
      </c>
      <c r="D10" s="9" t="str">
        <v>Core Theory</v>
      </c>
      <c r="E10" s="9" t="str">
        <f>INDEX('Course_Config'!$E$2:$E$7,AU10)</f>
        <v>Non-Architecture</v>
      </c>
      <c r="F10" s="9" t="n">
        <f>IF(INDEX('Course_Config'!$H$2:$H$7,AU10)=1,SUM(INDEX('Course_Config'!$K$2:$K$7,AU10),INDEX('Course_Config'!$L$2:$L$7,AU10),INDEX('Course_Config'!$M$2:$M$7,AU10)),0)+IF(INDEX('Course_Config'!$I$2:$I$7,AU10)=1,SUM(INDEX('Course_Config'!$N$2:$N$7,AU10),INDEX('Course_Config'!$O$2:$O$7,AU10),INDEX('Course_Config'!$P$2:$P$7,AU10)),0)+IF(INDEX('Course_Config'!$J$2:$J$7,AU10)=1,SUM(INDEX('Course_Config'!$Q$2:$Q$7,AU10),INDEX('Course_Config'!$R$2:$R$7,AU10),INDEX('Course_Config'!$S$2:$S$7,AU10)),0)</f>
        <v>30</v>
      </c>
      <c r="G10" s="9" t="n">
        <f>IF(INDEX('Course_Config'!$H$2:$H$7,AU10)=1,SUM(SUMIFS('Student_Marks'!$K$2:$K$49,'Student_Marks'!$B$2:$B$49,A10,'Student_Marks'!$F$2:$F$49,C10,'Student_Marks'!$D$2:$D$49,AP10,'Student_Marks'!$E$2:$E$49,AK10,'Student_Marks'!$H$2:$H$49,AI10,'Student_Marks'!$I$2:$I$49,AJ10,'Student_Marks'!$J$2:$J$49,"CA1"),SUMIFS('Student_Marks'!$K$2:$K$49,'Student_Marks'!$B$2:$B$49,A10,'Student_Marks'!$F$2:$F$49,C10,'Student_Marks'!$D$2:$D$49,AP10,'Student_Marks'!$E$2:$E$49,AK10,'Student_Marks'!$H$2:$H$49,AI10,'Student_Marks'!$I$2:$I$49,AJ10,'Student_Marks'!$J$2:$J$49,"CA2"),SUMIFS('Student_Marks'!$K$2:$K$49,'Student_Marks'!$B$2:$B$49,A10,'Student_Marks'!$F$2:$F$49,C10,'Student_Marks'!$D$2:$D$49,AP10,'Student_Marks'!$E$2:$E$49,AK10,'Student_Marks'!$H$2:$H$49,AI10,'Student_Marks'!$I$2:$I$49,AJ10,'Student_Marks'!$J$2:$J$49,"CA3")),0)+IF(INDEX('Course_Config'!$I$2:$I$7,AU10)=1,SUM(SUMIFS('Student_Marks'!$L$2:$L$49,'Student_Marks'!$B$2:$B$49,A10,'Student_Marks'!$F$2:$F$49,C10,'Student_Marks'!$D$2:$D$49,AP10,'Student_Marks'!$E$2:$E$49,AK10,'Student_Marks'!$H$2:$H$49,AI10,'Student_Marks'!$I$2:$I$49,AJ10,'Student_Marks'!$J$2:$J$49,"CA1"),SUMIFS('Student_Marks'!$L$2:$L$49,'Student_Marks'!$B$2:$B$49,A10,'Student_Marks'!$F$2:$F$49,C10,'Student_Marks'!$D$2:$D$49,AP10,'Student_Marks'!$E$2:$E$49,AK10,'Student_Marks'!$H$2:$H$49,AI10,'Student_Marks'!$I$2:$I$49,AJ10,'Student_Marks'!$J$2:$J$49,"CA2"),SUMIFS('Student_Marks'!$L$2:$L$49,'Student_Marks'!$B$2:$B$49,A10,'Student_Marks'!$F$2:$F$49,C10,'Student_Marks'!$D$2:$D$49,AP10,'Student_Marks'!$E$2:$E$49,AK10,'Student_Marks'!$H$2:$H$49,AI10,'Student_Marks'!$I$2:$I$49,AJ10,'Student_Marks'!$J$2:$J$49,"CA3")),0)+IF(INDEX('Course_Config'!$J$2:$J$7,AU10)=1,SUM(SUMIFS('Student_Marks'!$M$2:$M$49,'Student_Marks'!$B$2:$B$49,A10,'Student_Marks'!$F$2:$F$49,C10,'Student_Marks'!$D$2:$D$49,AP10,'Student_Marks'!$E$2:$E$49,AK10,'Student_Marks'!$H$2:$H$49,AI10,'Student_Marks'!$I$2:$I$49,AJ10,'Student_Marks'!$J$2:$J$49,"CA1"),SUMIFS('Student_Marks'!$M$2:$M$49,'Student_Marks'!$B$2:$B$49,A10,'Student_Marks'!$F$2:$F$49,C10,'Student_Marks'!$D$2:$D$49,AP10,'Student_Marks'!$E$2:$E$49,AK10,'Student_Marks'!$H$2:$H$49,AI10,'Student_Marks'!$I$2:$I$49,AJ10,'Student_Marks'!$J$2:$J$49,"CA2"),SUMIFS('Student_Marks'!$M$2:$M$49,'Student_Marks'!$B$2:$B$49,A10,'Student_Marks'!$F$2:$F$49,C10,'Student_Marks'!$D$2:$D$49,AP10,'Student_Marks'!$E$2:$E$49,AK10,'Student_Marks'!$H$2:$H$49,AI10,'Student_Marks'!$I$2:$I$49,AJ10,'Student_Marks'!$J$2:$J$49,"CA3")),0)</f>
        <v>16</v>
      </c>
      <c r="H10" s="9" t="n">
        <f>IF(F10=0,0,G10/F10*100)</f>
        <v>53.333333333333336</v>
      </c>
      <c r="I10" s="9" t="n">
        <f>IF(INDEX('Course_Config'!$AH$2:$AH$7,AU10)=1,ROUNDUP(F10*INDEX('Course_Config'!$AF$2:$AF$7,AU10)/100,0),F10*INDEX('Course_Config'!$AF$2:$AF$7,AU10)/100)</f>
        <v>12</v>
      </c>
      <c r="J10" s="9" t="str">
        <f>IF((IF(INDEX('Course_Config'!$H$2:$H$7,AU10)=1,COUNTIFS('Student_Marks'!$B$2:$B$49,A10,'Student_Marks'!$F$2:$F$49,C10,'Student_Marks'!$D$2:$D$49,AP10,'Student_Marks'!$E$2:$E$49,AK10,'Student_Marks'!$H$2:$H$49,AI10,'Student_Marks'!$I$2:$I$49,AJ10,'Student_Marks'!$J$2:$J$49,"CA1",'Student_Marks'!$K$2:$K$49,"&gt;=0",'Student_Marks'!$K$2:$K$49,"&lt;&gt;"),0)+IF(INDEX('Course_Config'!$I$2:$I$7,AU10)=1,COUNTIFS('Student_Marks'!$B$2:$B$49,A10,'Student_Marks'!$F$2:$F$49,C10,'Student_Marks'!$D$2:$D$49,AP10,'Student_Marks'!$E$2:$E$49,AK10,'Student_Marks'!$H$2:$H$49,AI10,'Student_Marks'!$I$2:$I$49,AJ10,'Student_Marks'!$J$2:$J$49,"CA1",'Student_Marks'!$L$2:$L$49,"&gt;=0",'Student_Marks'!$L$2:$L$49,"&lt;&gt;"),0)+IF(INDEX('Course_Config'!$J$2:$J$7,AU10)=1,COUNTIFS('Student_Marks'!$B$2:$B$49,A10,'Student_Marks'!$F$2:$F$49,C10,'Student_Marks'!$D$2:$D$49,AP10,'Student_Marks'!$E$2:$E$49,AK10,'Student_Marks'!$H$2:$H$49,AI10,'Student_Marks'!$I$2:$I$49,AJ10,'Student_Marks'!$J$2:$J$49,"CA1",'Student_Marks'!$M$2:$M$49,"&gt;=0",'Student_Marks'!$M$2:$M$49,"&lt;&gt;"),0)+IF(INDEX('Course_Config'!$H$2:$H$7,AU10)=1,COUNTIFS('Student_Marks'!$B$2:$B$49,A10,'Student_Marks'!$F$2:$F$49,C10,'Student_Marks'!$D$2:$D$49,AP10,'Student_Marks'!$E$2:$E$49,AK10,'Student_Marks'!$H$2:$H$49,AI10,'Student_Marks'!$I$2:$I$49,AJ10,'Student_Marks'!$J$2:$J$49,"CA2",'Student_Marks'!$K$2:$K$49,"&gt;=0",'Student_Marks'!$K$2:$K$49,"&lt;&gt;"),0)+IF(INDEX('Course_Config'!$I$2:$I$7,AU10)=1,COUNTIFS('Student_Marks'!$B$2:$B$49,A10,'Student_Marks'!$F$2:$F$49,C10,'Student_Marks'!$D$2:$D$49,AP10,'Student_Marks'!$E$2:$E$49,AK10,'Student_Marks'!$H$2:$H$49,AI10,'Student_Marks'!$I$2:$I$49,AJ10,'Student_Marks'!$J$2:$J$49,"CA2",'Student_Marks'!$L$2:$L$49,"&gt;=0",'Student_Marks'!$L$2:$L$49,"&lt;&gt;"),0)+IF(INDEX('Course_Config'!$J$2:$J$7,AU10)=1,COUNTIFS('Student_Marks'!$B$2:$B$49,A10,'Student_Marks'!$F$2:$F$49,C10,'Student_Marks'!$D$2:$D$49,AP10,'Student_Marks'!$E$2:$E$49,AK10,'Student_Marks'!$H$2:$H$49,AI10,'Student_Marks'!$I$2:$I$49,AJ10,'Student_Marks'!$J$2:$J$49,"CA2",'Student_Marks'!$M$2:$M$49,"&gt;=0",'Student_Marks'!$M$2:$M$49,"&lt;&gt;"),0)+IF(INDEX('Course_Config'!$H$2:$H$7,AU10)=1,COUNTIFS('Student_Marks'!$B$2:$B$49,A10,'Student_Marks'!$F$2:$F$49,C10,'Student_Marks'!$D$2:$D$49,AP10,'Student_Marks'!$E$2:$E$49,AK10,'Student_Marks'!$H$2:$H$49,AI10,'Student_Marks'!$I$2:$I$49,AJ10,'Student_Marks'!$J$2:$J$49,"CA3",'Student_Marks'!$K$2:$K$49,"&gt;=0",'Student_Marks'!$K$2:$K$49,"&lt;&gt;"),0)+IF(INDEX('Course_Config'!$I$2:$I$7,AU10)=1,COUNTIFS('Student_Marks'!$B$2:$B$49,A10,'Student_Marks'!$F$2:$F$49,C10,'Student_Marks'!$D$2:$D$49,AP10,'Student_Marks'!$E$2:$E$49,AK10,'Student_Marks'!$H$2:$H$49,AI10,'Student_Marks'!$I$2:$I$49,AJ10,'Student_Marks'!$J$2:$J$49,"CA3",'Student_Marks'!$L$2:$L$49,"&gt;=0",'Student_Marks'!$L$2:$L$49,"&lt;&gt;"),0)+IF(INDEX('Course_Config'!$J$2:$J$7,AU10)=1,COUNTIFS('Student_Marks'!$B$2:$B$49,A10,'Student_Marks'!$F$2:$F$49,C10,'Student_Marks'!$D$2:$D$49,AP10,'Student_Marks'!$E$2:$E$49,AK10,'Student_Marks'!$H$2:$H$49,AI10,'Student_Marks'!$I$2:$I$49,AJ10,'Student_Marks'!$J$2:$J$49,"CA3",'Student_Marks'!$M$2:$M$49,"&gt;=0",'Student_Marks'!$M$2:$M$49,"&lt;&gt;"),0))&lt;AV10*3/4,"PENDING",IF(G10&lt;I10,"TNG","TG"))</f>
        <v>PENDING</v>
      </c>
      <c r="K10" s="9" t="str">
        <f>IF(INDEX('Course_Config'!$H$2:$H$7,AU10)=0,"N/A",IF(COUNTIFS('Student_Marks'!$B$2:$B$49,A10,'Student_Marks'!$F$2:$F$49,C10,'Student_Marks'!$D$2:$D$49,AP10,'Student_Marks'!$E$2:$E$49,AK10,'Student_Marks'!$H$2:$H$49,AI10,'Student_Marks'!$I$2:$I$49,AJ10,'Student_Marks'!$J$2:$J$49,"ESE",'Student_Marks'!$K$2:$K$49,"AB")&gt;0,"AB",IF(COUNTIFS('Student_Marks'!$B$2:$B$49,A10,'Student_Marks'!$F$2:$F$49,C10,'Student_Marks'!$D$2:$D$49,AP10,'Student_Marks'!$E$2:$E$49,AK10,'Student_Marks'!$H$2:$H$49,AI10,'Student_Marks'!$I$2:$I$49,AJ10,'Student_Marks'!$J$2:$J$49,"ESE",'Student_Marks'!$K$2:$K$49,"&gt;=0",'Student_Marks'!$K$2:$K$49,"&lt;&gt;")=0,"PENDING",SUMIFS('Student_Marks'!$K$2:$K$49,'Student_Marks'!$B$2:$B$49,A10,'Student_Marks'!$F$2:$F$49,C10,'Student_Marks'!$D$2:$D$49,AP10,'Student_Marks'!$E$2:$E$49,AK10,'Student_Marks'!$H$2:$H$49,AI10,'Student_Marks'!$I$2:$I$49,AJ10,'Student_Marks'!$J$2:$J$49,"ESE"))))</f>
        <v>PENDING</v>
      </c>
      <c r="L10" s="9" t="str">
        <f>IF(INDEX('Course_Config'!$I$2:$I$7,AU10)=0,"N/A",IF(COUNTIFS('Student_Marks'!$B$2:$B$49,A10,'Student_Marks'!$F$2:$F$49,C10,'Student_Marks'!$D$2:$D$49,AP10,'Student_Marks'!$E$2:$E$49,AK10,'Student_Marks'!$H$2:$H$49,AI10,'Student_Marks'!$I$2:$I$49,AJ10,'Student_Marks'!$J$2:$J$49,"ESE",'Student_Marks'!$L$2:$L$49,"AB")&gt;0,"AB",IF(COUNTIFS('Student_Marks'!$B$2:$B$49,A10,'Student_Marks'!$F$2:$F$49,C10,'Student_Marks'!$D$2:$D$49,AP10,'Student_Marks'!$E$2:$E$49,AK10,'Student_Marks'!$H$2:$H$49,AI10,'Student_Marks'!$I$2:$I$49,AJ10,'Student_Marks'!$J$2:$J$49,"ESE",'Student_Marks'!$L$2:$L$49,"&gt;=0",'Student_Marks'!$L$2:$L$49,"&lt;&gt;")=0,"PENDING",SUMIFS('Student_Marks'!$L$2:$L$49,'Student_Marks'!$B$2:$B$49,A10,'Student_Marks'!$F$2:$F$49,C10,'Student_Marks'!$D$2:$D$49,AP10,'Student_Marks'!$E$2:$E$49,AK10,'Student_Marks'!$H$2:$H$49,AI10,'Student_Marks'!$I$2:$I$49,AJ10,'Student_Marks'!$J$2:$J$49,"ESE"))))</f>
        <v>N/A</v>
      </c>
      <c r="M10" s="9" t="str">
        <f>IF(INDEX('Course_Config'!$J$2:$J$7,AU10)=0,"N/A",IF(COUNTIFS('Student_Marks'!$B$2:$B$49,A10,'Student_Marks'!$F$2:$F$49,C10,'Student_Marks'!$D$2:$D$49,AP10,'Student_Marks'!$E$2:$E$49,AK10,'Student_Marks'!$H$2:$H$49,AI10,'Student_Marks'!$I$2:$I$49,AJ10,'Student_Marks'!$J$2:$J$49,"ESE",'Student_Marks'!$M$2:$M$49,"AB")&gt;0,"AB",IF(COUNTIFS('Student_Marks'!$B$2:$B$49,A10,'Student_Marks'!$F$2:$F$49,C10,'Student_Marks'!$D$2:$D$49,AP10,'Student_Marks'!$E$2:$E$49,AK10,'Student_Marks'!$H$2:$H$49,AI10,'Student_Marks'!$I$2:$I$49,AJ10,'Student_Marks'!$J$2:$J$49,"ESE",'Student_Marks'!$M$2:$M$49,"&gt;=0",'Student_Marks'!$M$2:$M$49,"&lt;&gt;")=0,"PENDING",SUMIFS('Student_Marks'!$M$2:$M$49,'Student_Marks'!$B$2:$B$49,A10,'Student_Marks'!$F$2:$F$49,C10,'Student_Marks'!$D$2:$D$49,AP10,'Student_Marks'!$E$2:$E$49,AK10,'Student_Marks'!$H$2:$H$49,AI10,'Student_Marks'!$I$2:$I$49,AJ10,'Student_Marks'!$J$2:$J$49,"ESE"))))</f>
        <v>N/A</v>
      </c>
      <c r="N10" s="9" t="n">
        <f>IF(INDEX('Course_Config'!$H$2:$H$7,AU10)=1,INDEX('Course_Config'!$T$2:$T$7,AU10),0)</f>
        <v>30</v>
      </c>
      <c r="O10" s="9" t="n">
        <f>IF(INDEX('Course_Config'!$I$2:$I$7,AU10)=1,INDEX('Course_Config'!$U$2:$U$7,AU10),0)</f>
        <v>0</v>
      </c>
      <c r="P10" s="9" t="n">
        <f>IF(INDEX('Course_Config'!$J$2:$J$7,AU10)=1,INDEX('Course_Config'!$V$2:$V$7,AU10),0)</f>
        <v>0</v>
      </c>
      <c r="Q10" s="9" t="n">
        <f>SUM(F10,N10:P10)</f>
        <v>60</v>
      </c>
      <c r="R10" s="9" t="n">
        <f>SUM(G10,K10:M10)</f>
        <v>16</v>
      </c>
      <c r="S10" s="11" t="n">
        <f>IF(Q10=0,0,R10/Q10*100)</f>
        <v>26.666666666666668</v>
      </c>
      <c r="T10" s="9" t="n">
        <f>INDEX('Course_Config'!$AG$2:$AG$7,AU10)</f>
        <v>40</v>
      </c>
      <c r="U10" s="9" t="str">
        <f>IF(OR(AR10&lt;&gt;1,AN10&gt;0,AQ10&gt;0),"WITHHELD",IF(J10="TNG","TNG",IF(AL10&lt;AV10,"PENDING",IF(AM10&gt;0,"ABSENT",IF(OR(AO10&gt;0,S10&lt;T10),"FAIL","PASS")))))</f>
        <v>PENDING</v>
      </c>
      <c r="V10" s="9" t="n">
        <f>IF(U10="PASS",IF(E10="Architecture",IF(S10&gt;='Grading_Reference'!B11,'Grading_Reference'!D11,IF(S10&gt;='Grading_Reference'!B12,'Grading_Reference'!D12,IF(S10&gt;='Grading_Reference'!B13,'Grading_Reference'!D13,IF(S10&gt;='Grading_Reference'!B14,'Grading_Reference'!D14,IF(S10&gt;='Grading_Reference'!B15,'Grading_Reference'!D15,IF(S10&gt;='Grading_Reference'!B16,'Grading_Reference'!D16,0)))))),IF(S10&gt;='Grading_Reference'!B2,'Grading_Reference'!D2,IF(S10&gt;='Grading_Reference'!B3,'Grading_Reference'!D3,IF(S10&gt;='Grading_Reference'!B4,'Grading_Reference'!D4,IF(S10&gt;='Grading_Reference'!B5,'Grading_Reference'!D5,IF(S10&gt;='Grading_Reference'!B6,'Grading_Reference'!D6,IF(S10&gt;='Grading_Reference'!B7,'Grading_Reference'!D7,IF(S10&gt;='Grading_Reference'!B8,'Grading_Reference'!D8,0)))))))),0)</f>
        <v>0</v>
      </c>
      <c r="W10" s="9" t="n">
        <f>AH10*V10</f>
        <v>0</v>
      </c>
      <c r="X10" s="11" t="str">
        <f>'SGPA'!F4</f>
        <v>WITHHELD</v>
      </c>
      <c r="Y10" s="9"/>
      <c r="Z10" s="9" t="n">
        <v>0</v>
      </c>
      <c r="AA10" s="9" t="str">
        <f>"NOT_REQUIRED"</f>
        <v>NOT_REQUIRED</v>
      </c>
      <c r="AB10" s="9" t="str">
        <v>NOT_REQUIRED</v>
      </c>
      <c r="AC10" s="9" t="str">
        <f>IF(J10="TNG","TNG",U10)</f>
        <v>PENDING</v>
      </c>
      <c r="AD10" s="9" t="n">
        <f>V10</f>
        <v>0</v>
      </c>
      <c r="AE10" s="9" t="n">
        <f>V10</f>
        <v>0</v>
      </c>
      <c r="AF10" s="9" t="n">
        <f>V10</f>
        <v>0</v>
      </c>
      <c r="AG10" s="9" t="str">
        <f>IF(U10="PASS",IF(E10="Architecture",IF(S10&gt;='Grading_Reference'!B11,'Grading_Reference'!E11,IF(S10&gt;='Grading_Reference'!B12,'Grading_Reference'!E12,IF(S10&gt;='Grading_Reference'!B13,'Grading_Reference'!E13,IF(S10&gt;='Grading_Reference'!B14,'Grading_Reference'!E14,IF(S10&gt;='Grading_Reference'!B15,'Grading_Reference'!E15,IF(S10&gt;='Grading_Reference'!B16,'Grading_Reference'!E16,"F")))))),IF(S10&gt;='Grading_Reference'!B2,'Grading_Reference'!E2,IF(S10&gt;='Grading_Reference'!B3,'Grading_Reference'!E3,IF(S10&gt;='Grading_Reference'!B4,'Grading_Reference'!E4,IF(S10&gt;='Grading_Reference'!B5,'Grading_Reference'!E5,IF(S10&gt;='Grading_Reference'!B6,'Grading_Reference'!E6,IF(S10&gt;='Grading_Reference'!B7,'Grading_Reference'!E7,IF(S10&gt;='Grading_Reference'!B8,'Grading_Reference'!E8,"F")))))))),IF(U10="ABSENT","Ab",IF(U10="FAIL","F",U10)))</f>
        <v>PENDING</v>
      </c>
      <c r="AH10" s="9" t="n">
        <f>INDEX('Course_Config'!$F$2:$F$7,AU10)</f>
        <v>2</v>
      </c>
      <c r="AI10" s="9" t="str">
        <v>2026-27</v>
      </c>
      <c r="AJ10" s="9" t="str">
        <v>Oct 2026 TEST</v>
      </c>
      <c r="AK10" s="9" t="str">
        <v>I</v>
      </c>
      <c r="AL10" s="9" t="n">
        <f>IF(INDEX('Course_Config'!$H$2:$H$7,AU10)=1,COUNTIFS('Student_Marks'!$B$2:$B$49,A10,'Student_Marks'!$F$2:$F$49,C10,'Student_Marks'!$D$2:$D$49,AP10,'Student_Marks'!$E$2:$E$49,AK10,'Student_Marks'!$H$2:$H$49,AI10,'Student_Marks'!$I$2:$I$49,AJ10,'Student_Marks'!$K$2:$K$49,"&gt;=0",'Student_Marks'!$K$2:$K$49,"&lt;&gt;")+COUNTIFS('Student_Marks'!$B$2:$B$49,A10,'Student_Marks'!$F$2:$F$49,C10,'Student_Marks'!$D$2:$D$49,AP10,'Student_Marks'!$E$2:$E$49,AK10,'Student_Marks'!$H$2:$H$49,AI10,'Student_Marks'!$I$2:$I$49,AJ10,'Student_Marks'!$K$2:$K$49,"AB"),0)+IF(INDEX('Course_Config'!$I$2:$I$7,AU10)=1,COUNTIFS('Student_Marks'!$B$2:$B$49,A10,'Student_Marks'!$F$2:$F$49,C10,'Student_Marks'!$D$2:$D$49,AP10,'Student_Marks'!$E$2:$E$49,AK10,'Student_Marks'!$H$2:$H$49,AI10,'Student_Marks'!$I$2:$I$49,AJ10,'Student_Marks'!$L$2:$L$49,"&gt;=0",'Student_Marks'!$L$2:$L$49,"&lt;&gt;")+COUNTIFS('Student_Marks'!$B$2:$B$49,A10,'Student_Marks'!$F$2:$F$49,C10,'Student_Marks'!$D$2:$D$49,AP10,'Student_Marks'!$E$2:$E$49,AK10,'Student_Marks'!$H$2:$H$49,AI10,'Student_Marks'!$I$2:$I$49,AJ10,'Student_Marks'!$L$2:$L$49,"AB"),0)+IF(INDEX('Course_Config'!$J$2:$J$7,AU10)=1,COUNTIFS('Student_Marks'!$B$2:$B$49,A10,'Student_Marks'!$F$2:$F$49,C10,'Student_Marks'!$D$2:$D$49,AP10,'Student_Marks'!$E$2:$E$49,AK10,'Student_Marks'!$H$2:$H$49,AI10,'Student_Marks'!$I$2:$I$49,AJ10,'Student_Marks'!$M$2:$M$49,"&gt;=0",'Student_Marks'!$M$2:$M$49,"&lt;&gt;")+COUNTIFS('Student_Marks'!$B$2:$B$49,A10,'Student_Marks'!$F$2:$F$49,C10,'Student_Marks'!$D$2:$D$49,AP10,'Student_Marks'!$E$2:$E$49,AK10,'Student_Marks'!$H$2:$H$49,AI10,'Student_Marks'!$I$2:$I$49,AJ10,'Student_Marks'!$M$2:$M$49,"AB"),0)</f>
        <v>2</v>
      </c>
      <c r="AM10" s="9" t="n">
        <f>IF(INDEX('Course_Config'!$H$2:$H$7,AU10)=1,COUNTIFS('Student_Marks'!$B$2:$B$49,A10,'Student_Marks'!$F$2:$F$49,C10,'Student_Marks'!$D$2:$D$49,AP10,'Student_Marks'!$E$2:$E$49,AK10,'Student_Marks'!$H$2:$H$49,AI10,'Student_Marks'!$I$2:$I$49,AJ10,'Student_Marks'!$K$2:$K$49,"AB"),0)+IF(INDEX('Course_Config'!$I$2:$I$7,AU10)=1,COUNTIFS('Student_Marks'!$B$2:$B$49,A10,'Student_Marks'!$F$2:$F$49,C10,'Student_Marks'!$D$2:$D$49,AP10,'Student_Marks'!$E$2:$E$49,AK10,'Student_Marks'!$H$2:$H$49,AI10,'Student_Marks'!$I$2:$I$49,AJ10,'Student_Marks'!$L$2:$L$49,"AB"),0)+IF(INDEX('Course_Config'!$J$2:$J$7,AU10)=1,COUNTIFS('Student_Marks'!$B$2:$B$49,A10,'Student_Marks'!$F$2:$F$49,C10,'Student_Marks'!$D$2:$D$49,AP10,'Student_Marks'!$E$2:$E$49,AK10,'Student_Marks'!$H$2:$H$49,AI10,'Student_Marks'!$I$2:$I$49,AJ10,'Student_Marks'!$M$2:$M$49,"AB"),0)</f>
        <v>0</v>
      </c>
      <c r="AN10" s="9" t="n">
        <f>COUNTIFS('Student_Marks'!$B$2:$B$49,A10,'Student_Marks'!$F$2:$F$49,C10,'Student_Marks'!$D$2:$D$49,AP10,'Student_Marks'!$E$2:$E$49,AK10,'Student_Marks'!$H$2:$H$49,AI10,'Student_Marks'!$I$2:$I$49,AJ10,'Student_Marks'!$Q$2:$Q$49,"INVALID")</f>
        <v>0</v>
      </c>
      <c r="AO10" s="9" t="n">
        <f>IF(AND(N10&gt;0,ISNUMBER(K10)),IF(K10&lt;IF(INDEX('Course_Config'!$AH$2:$AH$7,AU10)=1,ROUNDUP(N10*INDEX('Course_Config'!$AC$2:$AC$7,AU10)/100,0),N10*INDEX('Course_Config'!$AC$2:$AC$7,AU10)/100),1,0),0)+IF(AND(O10&gt;0,ISNUMBER(L10)),IF(L10&lt;IF(INDEX('Course_Config'!$AH$2:$AH$7,AU10)=1,ROUNDUP(O10*INDEX('Course_Config'!$AD$2:$AD$7,AU10)/100,0),O10*INDEX('Course_Config'!$AD$2:$AD$7,AU10)/100),1,0),0)+IF(AND(P10&gt;0,ISNUMBER(M10)),IF(M10&lt;IF(INDEX('Course_Config'!$AH$2:$AH$7,AU10)=1,ROUNDUP(P10*INDEX('Course_Config'!$AE$2:$AE$7,AU10)/100,0),P10*INDEX('Course_Config'!$AE$2:$AE$7,AU10)/100),1,0),0)</f>
        <v>0</v>
      </c>
      <c r="AP10" s="9" t="str">
        <v>[TEST] B.Tech. Construction Engineering &amp; Management</v>
      </c>
      <c r="AQ10" s="9" t="n">
        <f>IF(COUNTIFS('Student_Marks'!$B$2:$B$49,A10,'Student_Marks'!$F$2:$F$49,C10,'Student_Marks'!$D$2:$D$49,AP10,'Student_Marks'!$E$2:$E$49,AK10,'Student_Marks'!$H$2:$H$49,AI10,'Student_Marks'!$I$2:$I$49,AJ10,'Student_Marks'!$J$2:$J$49,"CA1")&gt;1,1,0)+IF(COUNTIFS('Student_Marks'!$B$2:$B$49,A10,'Student_Marks'!$F$2:$F$49,C10,'Student_Marks'!$D$2:$D$49,AP10,'Student_Marks'!$E$2:$E$49,AK10,'Student_Marks'!$H$2:$H$49,AI10,'Student_Marks'!$I$2:$I$49,AJ10,'Student_Marks'!$J$2:$J$49,"CA2")&gt;1,1,0)+IF(COUNTIFS('Student_Marks'!$B$2:$B$49,A10,'Student_Marks'!$F$2:$F$49,C10,'Student_Marks'!$D$2:$D$49,AP10,'Student_Marks'!$E$2:$E$49,AK10,'Student_Marks'!$H$2:$H$49,AI10,'Student_Marks'!$I$2:$I$49,AJ10,'Student_Marks'!$J$2:$J$49,"CA3")&gt;1,1,0)+IF(COUNTIFS('Student_Marks'!$B$2:$B$49,A10,'Student_Marks'!$F$2:$F$49,C10,'Student_Marks'!$D$2:$D$49,AP10,'Student_Marks'!$E$2:$E$49,AK10,'Student_Marks'!$H$2:$H$49,AI10,'Student_Marks'!$I$2:$I$49,AJ10,'Student_Marks'!$J$2:$J$49,"ESE")&gt;1,1,0)</f>
        <v>0</v>
      </c>
      <c r="AR10" s="9" t="n">
        <f>INDEX('Course_Config'!$AJ$2:$AJ$7,AU10)</f>
        <v>1</v>
      </c>
      <c r="AS10" s="9" t="str">
        <f>IF(J10="TG","ELIGIBLE","NOT_ELIGIBLE")</f>
        <v>NOT_ELIGIBLE</v>
      </c>
      <c r="AT10" s="9" t="str">
        <v>TEST-1</v>
      </c>
      <c r="AU10" s="9" t="n">
        <f>SUMIFS('Course_Config'!$AK$2:$AK$7,'Course_Config'!$AA$2:$AA$7,AP10&amp;"|"&amp;C10&amp;"|"&amp;AK10)</f>
        <v>3</v>
      </c>
      <c r="AV10" s="9" t="n">
        <f>4*SUM(INDEX('Course_Config'!$H$2:$H$7,AU10),INDEX('Course_Config'!$I$2:$I$7,AU10),INDEX('Course_Config'!$J$2:$J$7,AU10))</f>
        <v>4</v>
      </c>
    </row>
    <row r="11">
      <c r="A11" s="9" t="str">
        <v>TEST5001</v>
      </c>
      <c r="B11" s="9" t="str">
        <v>Test Student 5-01 (PASS)</v>
      </c>
      <c r="C11" s="9" t="str">
        <v>T501</v>
      </c>
      <c r="D11" s="9" t="str">
        <v>Integrated Foundation</v>
      </c>
      <c r="E11" s="9" t="str">
        <f>INDEX('Course_Config'!$E$2:$E$7,AU11)</f>
        <v>Architecture</v>
      </c>
      <c r="F11" s="9" t="n">
        <f>IF(INDEX('Course_Config'!$H$2:$H$7,AU11)=1,SUM(INDEX('Course_Config'!$K$2:$K$7,AU11),INDEX('Course_Config'!$L$2:$L$7,AU11),INDEX('Course_Config'!$M$2:$M$7,AU11)),0)+IF(INDEX('Course_Config'!$I$2:$I$7,AU11)=1,SUM(INDEX('Course_Config'!$N$2:$N$7,AU11),INDEX('Course_Config'!$O$2:$O$7,AU11),INDEX('Course_Config'!$P$2:$P$7,AU11)),0)+IF(INDEX('Course_Config'!$J$2:$J$7,AU11)=1,SUM(INDEX('Course_Config'!$Q$2:$Q$7,AU11),INDEX('Course_Config'!$R$2:$R$7,AU11),INDEX('Course_Config'!$S$2:$S$7,AU11)),0)</f>
        <v>90</v>
      </c>
      <c r="G11" s="9" t="n">
        <f>IF(INDEX('Course_Config'!$H$2:$H$7,AU11)=1,SUM(SUMIFS('Student_Marks'!$K$2:$K$49,'Student_Marks'!$B$2:$B$49,A11,'Student_Marks'!$F$2:$F$49,C11,'Student_Marks'!$D$2:$D$49,AP11,'Student_Marks'!$E$2:$E$49,AK11,'Student_Marks'!$H$2:$H$49,AI11,'Student_Marks'!$I$2:$I$49,AJ11,'Student_Marks'!$J$2:$J$49,"CA1"),SUMIFS('Student_Marks'!$K$2:$K$49,'Student_Marks'!$B$2:$B$49,A11,'Student_Marks'!$F$2:$F$49,C11,'Student_Marks'!$D$2:$D$49,AP11,'Student_Marks'!$E$2:$E$49,AK11,'Student_Marks'!$H$2:$H$49,AI11,'Student_Marks'!$I$2:$I$49,AJ11,'Student_Marks'!$J$2:$J$49,"CA2"),SUMIFS('Student_Marks'!$K$2:$K$49,'Student_Marks'!$B$2:$B$49,A11,'Student_Marks'!$F$2:$F$49,C11,'Student_Marks'!$D$2:$D$49,AP11,'Student_Marks'!$E$2:$E$49,AK11,'Student_Marks'!$H$2:$H$49,AI11,'Student_Marks'!$I$2:$I$49,AJ11,'Student_Marks'!$J$2:$J$49,"CA3")),0)+IF(INDEX('Course_Config'!$I$2:$I$7,AU11)=1,SUM(SUMIFS('Student_Marks'!$L$2:$L$49,'Student_Marks'!$B$2:$B$49,A11,'Student_Marks'!$F$2:$F$49,C11,'Student_Marks'!$D$2:$D$49,AP11,'Student_Marks'!$E$2:$E$49,AK11,'Student_Marks'!$H$2:$H$49,AI11,'Student_Marks'!$I$2:$I$49,AJ11,'Student_Marks'!$J$2:$J$49,"CA1"),SUMIFS('Student_Marks'!$L$2:$L$49,'Student_Marks'!$B$2:$B$49,A11,'Student_Marks'!$F$2:$F$49,C11,'Student_Marks'!$D$2:$D$49,AP11,'Student_Marks'!$E$2:$E$49,AK11,'Student_Marks'!$H$2:$H$49,AI11,'Student_Marks'!$I$2:$I$49,AJ11,'Student_Marks'!$J$2:$J$49,"CA2"),SUMIFS('Student_Marks'!$L$2:$L$49,'Student_Marks'!$B$2:$B$49,A11,'Student_Marks'!$F$2:$F$49,C11,'Student_Marks'!$D$2:$D$49,AP11,'Student_Marks'!$E$2:$E$49,AK11,'Student_Marks'!$H$2:$H$49,AI11,'Student_Marks'!$I$2:$I$49,AJ11,'Student_Marks'!$J$2:$J$49,"CA3")),0)+IF(INDEX('Course_Config'!$J$2:$J$7,AU11)=1,SUM(SUMIFS('Student_Marks'!$M$2:$M$49,'Student_Marks'!$B$2:$B$49,A11,'Student_Marks'!$F$2:$F$49,C11,'Student_Marks'!$D$2:$D$49,AP11,'Student_Marks'!$E$2:$E$49,AK11,'Student_Marks'!$H$2:$H$49,AI11,'Student_Marks'!$I$2:$I$49,AJ11,'Student_Marks'!$J$2:$J$49,"CA1"),SUMIFS('Student_Marks'!$M$2:$M$49,'Student_Marks'!$B$2:$B$49,A11,'Student_Marks'!$F$2:$F$49,C11,'Student_Marks'!$D$2:$D$49,AP11,'Student_Marks'!$E$2:$E$49,AK11,'Student_Marks'!$H$2:$H$49,AI11,'Student_Marks'!$I$2:$I$49,AJ11,'Student_Marks'!$J$2:$J$49,"CA2"),SUMIFS('Student_Marks'!$M$2:$M$49,'Student_Marks'!$B$2:$B$49,A11,'Student_Marks'!$F$2:$F$49,C11,'Student_Marks'!$D$2:$D$49,AP11,'Student_Marks'!$E$2:$E$49,AK11,'Student_Marks'!$H$2:$H$49,AI11,'Student_Marks'!$I$2:$I$49,AJ11,'Student_Marks'!$J$2:$J$49,"CA3")),0)</f>
        <v>72</v>
      </c>
      <c r="H11" s="9" t="n">
        <f>IF(F11=0,0,G11/F11*100)</f>
        <v>80</v>
      </c>
      <c r="I11" s="9" t="n">
        <f>IF(INDEX('Course_Config'!$AH$2:$AH$7,AU11)=1,ROUNDUP(F11*INDEX('Course_Config'!$AF$2:$AF$7,AU11)/100,0),F11*INDEX('Course_Config'!$AF$2:$AF$7,AU11)/100)</f>
        <v>36</v>
      </c>
      <c r="J11" s="9" t="str">
        <f>IF((IF(INDEX('Course_Config'!$H$2:$H$7,AU11)=1,COUNTIFS('Student_Marks'!$B$2:$B$49,A11,'Student_Marks'!$F$2:$F$49,C11,'Student_Marks'!$D$2:$D$49,AP11,'Student_Marks'!$E$2:$E$49,AK11,'Student_Marks'!$H$2:$H$49,AI11,'Student_Marks'!$I$2:$I$49,AJ11,'Student_Marks'!$J$2:$J$49,"CA1",'Student_Marks'!$K$2:$K$49,"&gt;=0",'Student_Marks'!$K$2:$K$49,"&lt;&gt;"),0)+IF(INDEX('Course_Config'!$I$2:$I$7,AU11)=1,COUNTIFS('Student_Marks'!$B$2:$B$49,A11,'Student_Marks'!$F$2:$F$49,C11,'Student_Marks'!$D$2:$D$49,AP11,'Student_Marks'!$E$2:$E$49,AK11,'Student_Marks'!$H$2:$H$49,AI11,'Student_Marks'!$I$2:$I$49,AJ11,'Student_Marks'!$J$2:$J$49,"CA1",'Student_Marks'!$L$2:$L$49,"&gt;=0",'Student_Marks'!$L$2:$L$49,"&lt;&gt;"),0)+IF(INDEX('Course_Config'!$J$2:$J$7,AU11)=1,COUNTIFS('Student_Marks'!$B$2:$B$49,A11,'Student_Marks'!$F$2:$F$49,C11,'Student_Marks'!$D$2:$D$49,AP11,'Student_Marks'!$E$2:$E$49,AK11,'Student_Marks'!$H$2:$H$49,AI11,'Student_Marks'!$I$2:$I$49,AJ11,'Student_Marks'!$J$2:$J$49,"CA1",'Student_Marks'!$M$2:$M$49,"&gt;=0",'Student_Marks'!$M$2:$M$49,"&lt;&gt;"),0)+IF(INDEX('Course_Config'!$H$2:$H$7,AU11)=1,COUNTIFS('Student_Marks'!$B$2:$B$49,A11,'Student_Marks'!$F$2:$F$49,C11,'Student_Marks'!$D$2:$D$49,AP11,'Student_Marks'!$E$2:$E$49,AK11,'Student_Marks'!$H$2:$H$49,AI11,'Student_Marks'!$I$2:$I$49,AJ11,'Student_Marks'!$J$2:$J$49,"CA2",'Student_Marks'!$K$2:$K$49,"&gt;=0",'Student_Marks'!$K$2:$K$49,"&lt;&gt;"),0)+IF(INDEX('Course_Config'!$I$2:$I$7,AU11)=1,COUNTIFS('Student_Marks'!$B$2:$B$49,A11,'Student_Marks'!$F$2:$F$49,C11,'Student_Marks'!$D$2:$D$49,AP11,'Student_Marks'!$E$2:$E$49,AK11,'Student_Marks'!$H$2:$H$49,AI11,'Student_Marks'!$I$2:$I$49,AJ11,'Student_Marks'!$J$2:$J$49,"CA2",'Student_Marks'!$L$2:$L$49,"&gt;=0",'Student_Marks'!$L$2:$L$49,"&lt;&gt;"),0)+IF(INDEX('Course_Config'!$J$2:$J$7,AU11)=1,COUNTIFS('Student_Marks'!$B$2:$B$49,A11,'Student_Marks'!$F$2:$F$49,C11,'Student_Marks'!$D$2:$D$49,AP11,'Student_Marks'!$E$2:$E$49,AK11,'Student_Marks'!$H$2:$H$49,AI11,'Student_Marks'!$I$2:$I$49,AJ11,'Student_Marks'!$J$2:$J$49,"CA2",'Student_Marks'!$M$2:$M$49,"&gt;=0",'Student_Marks'!$M$2:$M$49,"&lt;&gt;"),0)+IF(INDEX('Course_Config'!$H$2:$H$7,AU11)=1,COUNTIFS('Student_Marks'!$B$2:$B$49,A11,'Student_Marks'!$F$2:$F$49,C11,'Student_Marks'!$D$2:$D$49,AP11,'Student_Marks'!$E$2:$E$49,AK11,'Student_Marks'!$H$2:$H$49,AI11,'Student_Marks'!$I$2:$I$49,AJ11,'Student_Marks'!$J$2:$J$49,"CA3",'Student_Marks'!$K$2:$K$49,"&gt;=0",'Student_Marks'!$K$2:$K$49,"&lt;&gt;"),0)+IF(INDEX('Course_Config'!$I$2:$I$7,AU11)=1,COUNTIFS('Student_Marks'!$B$2:$B$49,A11,'Student_Marks'!$F$2:$F$49,C11,'Student_Marks'!$D$2:$D$49,AP11,'Student_Marks'!$E$2:$E$49,AK11,'Student_Marks'!$H$2:$H$49,AI11,'Student_Marks'!$I$2:$I$49,AJ11,'Student_Marks'!$J$2:$J$49,"CA3",'Student_Marks'!$L$2:$L$49,"&gt;=0",'Student_Marks'!$L$2:$L$49,"&lt;&gt;"),0)+IF(INDEX('Course_Config'!$J$2:$J$7,AU11)=1,COUNTIFS('Student_Marks'!$B$2:$B$49,A11,'Student_Marks'!$F$2:$F$49,C11,'Student_Marks'!$D$2:$D$49,AP11,'Student_Marks'!$E$2:$E$49,AK11,'Student_Marks'!$H$2:$H$49,AI11,'Student_Marks'!$I$2:$I$49,AJ11,'Student_Marks'!$J$2:$J$49,"CA3",'Student_Marks'!$M$2:$M$49,"&gt;=0",'Student_Marks'!$M$2:$M$49,"&lt;&gt;"),0))&lt;AV11*3/4,"PENDING",IF(G11&lt;I11,"TNG","TG"))</f>
        <v>TG</v>
      </c>
      <c r="K11" s="9" t="n">
        <f>IF(INDEX('Course_Config'!$H$2:$H$7,AU11)=0,"N/A",IF(COUNTIFS('Student_Marks'!$B$2:$B$49,A11,'Student_Marks'!$F$2:$F$49,C11,'Student_Marks'!$D$2:$D$49,AP11,'Student_Marks'!$E$2:$E$49,AK11,'Student_Marks'!$H$2:$H$49,AI11,'Student_Marks'!$I$2:$I$49,AJ11,'Student_Marks'!$J$2:$J$49,"ESE",'Student_Marks'!$K$2:$K$49,"AB")&gt;0,"AB",IF(COUNTIFS('Student_Marks'!$B$2:$B$49,A11,'Student_Marks'!$F$2:$F$49,C11,'Student_Marks'!$D$2:$D$49,AP11,'Student_Marks'!$E$2:$E$49,AK11,'Student_Marks'!$H$2:$H$49,AI11,'Student_Marks'!$I$2:$I$49,AJ11,'Student_Marks'!$J$2:$J$49,"ESE",'Student_Marks'!$K$2:$K$49,"&gt;=0",'Student_Marks'!$K$2:$K$49,"&lt;&gt;")=0,"PENDING",SUMIFS('Student_Marks'!$K$2:$K$49,'Student_Marks'!$B$2:$B$49,A11,'Student_Marks'!$F$2:$F$49,C11,'Student_Marks'!$D$2:$D$49,AP11,'Student_Marks'!$E$2:$E$49,AK11,'Student_Marks'!$H$2:$H$49,AI11,'Student_Marks'!$I$2:$I$49,AJ11,'Student_Marks'!$J$2:$J$49,"ESE"))))</f>
        <v>24</v>
      </c>
      <c r="L11" s="9" t="n">
        <f>IF(INDEX('Course_Config'!$I$2:$I$7,AU11)=0,"N/A",IF(COUNTIFS('Student_Marks'!$B$2:$B$49,A11,'Student_Marks'!$F$2:$F$49,C11,'Student_Marks'!$D$2:$D$49,AP11,'Student_Marks'!$E$2:$E$49,AK11,'Student_Marks'!$H$2:$H$49,AI11,'Student_Marks'!$I$2:$I$49,AJ11,'Student_Marks'!$J$2:$J$49,"ESE",'Student_Marks'!$L$2:$L$49,"AB")&gt;0,"AB",IF(COUNTIFS('Student_Marks'!$B$2:$B$49,A11,'Student_Marks'!$F$2:$F$49,C11,'Student_Marks'!$D$2:$D$49,AP11,'Student_Marks'!$E$2:$E$49,AK11,'Student_Marks'!$H$2:$H$49,AI11,'Student_Marks'!$I$2:$I$49,AJ11,'Student_Marks'!$J$2:$J$49,"ESE",'Student_Marks'!$L$2:$L$49,"&gt;=0",'Student_Marks'!$L$2:$L$49,"&lt;&gt;")=0,"PENDING",SUMIFS('Student_Marks'!$L$2:$L$49,'Student_Marks'!$B$2:$B$49,A11,'Student_Marks'!$F$2:$F$49,C11,'Student_Marks'!$D$2:$D$49,AP11,'Student_Marks'!$E$2:$E$49,AK11,'Student_Marks'!$H$2:$H$49,AI11,'Student_Marks'!$I$2:$I$49,AJ11,'Student_Marks'!$J$2:$J$49,"ESE"))))</f>
        <v>24</v>
      </c>
      <c r="M11" s="9" t="n">
        <f>IF(INDEX('Course_Config'!$J$2:$J$7,AU11)=0,"N/A",IF(COUNTIFS('Student_Marks'!$B$2:$B$49,A11,'Student_Marks'!$F$2:$F$49,C11,'Student_Marks'!$D$2:$D$49,AP11,'Student_Marks'!$E$2:$E$49,AK11,'Student_Marks'!$H$2:$H$49,AI11,'Student_Marks'!$I$2:$I$49,AJ11,'Student_Marks'!$J$2:$J$49,"ESE",'Student_Marks'!$M$2:$M$49,"AB")&gt;0,"AB",IF(COUNTIFS('Student_Marks'!$B$2:$B$49,A11,'Student_Marks'!$F$2:$F$49,C11,'Student_Marks'!$D$2:$D$49,AP11,'Student_Marks'!$E$2:$E$49,AK11,'Student_Marks'!$H$2:$H$49,AI11,'Student_Marks'!$I$2:$I$49,AJ11,'Student_Marks'!$J$2:$J$49,"ESE",'Student_Marks'!$M$2:$M$49,"&gt;=0",'Student_Marks'!$M$2:$M$49,"&lt;&gt;")=0,"PENDING",SUMIFS('Student_Marks'!$M$2:$M$49,'Student_Marks'!$B$2:$B$49,A11,'Student_Marks'!$F$2:$F$49,C11,'Student_Marks'!$D$2:$D$49,AP11,'Student_Marks'!$E$2:$E$49,AK11,'Student_Marks'!$H$2:$H$49,AI11,'Student_Marks'!$I$2:$I$49,AJ11,'Student_Marks'!$J$2:$J$49,"ESE"))))</f>
        <v>24</v>
      </c>
      <c r="N11" s="9" t="n">
        <f>IF(INDEX('Course_Config'!$H$2:$H$7,AU11)=1,INDEX('Course_Config'!$T$2:$T$7,AU11),0)</f>
        <v>30</v>
      </c>
      <c r="O11" s="9" t="n">
        <f>IF(INDEX('Course_Config'!$I$2:$I$7,AU11)=1,INDEX('Course_Config'!$U$2:$U$7,AU11),0)</f>
        <v>30</v>
      </c>
      <c r="P11" s="9" t="n">
        <f>IF(INDEX('Course_Config'!$J$2:$J$7,AU11)=1,INDEX('Course_Config'!$V$2:$V$7,AU11),0)</f>
        <v>30</v>
      </c>
      <c r="Q11" s="9" t="n">
        <f>SUM(F11,N11:P11)</f>
        <v>180</v>
      </c>
      <c r="R11" s="9" t="n">
        <f>SUM(G11,K11:M11)</f>
        <v>144</v>
      </c>
      <c r="S11" s="11" t="n">
        <f>IF(Q11=0,0,R11/Q11*100)</f>
        <v>80</v>
      </c>
      <c r="T11" s="9" t="n">
        <f>INDEX('Course_Config'!$AG$2:$AG$7,AU11)</f>
        <v>45</v>
      </c>
      <c r="U11" s="9" t="str">
        <f>IF(OR(AR11&lt;&gt;1,AN11&gt;0,AQ11&gt;0),"WITHHELD",IF(J11="TNG","TNG",IF(AL11&lt;AV11,"PENDING",IF(AM11&gt;0,"ABSENT",IF(OR(AO11&gt;0,S11&lt;T11),"FAIL","PASS")))))</f>
        <v>PASS</v>
      </c>
      <c r="V11" s="9" t="n">
        <f>IF(U11="PASS",IF(E11="Architecture",IF(S11&gt;='Grading_Reference'!B11,'Grading_Reference'!D11,IF(S11&gt;='Grading_Reference'!B12,'Grading_Reference'!D12,IF(S11&gt;='Grading_Reference'!B13,'Grading_Reference'!D13,IF(S11&gt;='Grading_Reference'!B14,'Grading_Reference'!D14,IF(S11&gt;='Grading_Reference'!B15,'Grading_Reference'!D15,IF(S11&gt;='Grading_Reference'!B16,'Grading_Reference'!D16,0)))))),IF(S11&gt;='Grading_Reference'!B2,'Grading_Reference'!D2,IF(S11&gt;='Grading_Reference'!B3,'Grading_Reference'!D3,IF(S11&gt;='Grading_Reference'!B4,'Grading_Reference'!D4,IF(S11&gt;='Grading_Reference'!B5,'Grading_Reference'!D5,IF(S11&gt;='Grading_Reference'!B6,'Grading_Reference'!D6,IF(S11&gt;='Grading_Reference'!B7,'Grading_Reference'!D7,IF(S11&gt;='Grading_Reference'!B8,'Grading_Reference'!D8,0)))))))),0)</f>
        <v>9</v>
      </c>
      <c r="W11" s="9" t="n">
        <f>AH11*V11</f>
        <v>36</v>
      </c>
      <c r="X11" s="11" t="n">
        <f>'SGPA'!F5</f>
        <v>9</v>
      </c>
      <c r="Y11" s="9"/>
      <c r="Z11" s="9" t="n">
        <v>0</v>
      </c>
      <c r="AA11" s="9" t="str">
        <f>"NOT_REQUIRED"</f>
        <v>NOT_REQUIRED</v>
      </c>
      <c r="AB11" s="9" t="str">
        <v>NOT_REQUIRED</v>
      </c>
      <c r="AC11" s="9" t="str">
        <f>IF(J11="TNG","TNG",U11)</f>
        <v>PASS</v>
      </c>
      <c r="AD11" s="9" t="n">
        <f>V11</f>
        <v>9</v>
      </c>
      <c r="AE11" s="9" t="n">
        <f>V11</f>
        <v>9</v>
      </c>
      <c r="AF11" s="9" t="n">
        <f>V11</f>
        <v>9</v>
      </c>
      <c r="AG11" s="9" t="str">
        <f>IF(U11="PASS",IF(E11="Architecture",IF(S11&gt;='Grading_Reference'!B11,'Grading_Reference'!E11,IF(S11&gt;='Grading_Reference'!B12,'Grading_Reference'!E12,IF(S11&gt;='Grading_Reference'!B13,'Grading_Reference'!E13,IF(S11&gt;='Grading_Reference'!B14,'Grading_Reference'!E14,IF(S11&gt;='Grading_Reference'!B15,'Grading_Reference'!E15,IF(S11&gt;='Grading_Reference'!B16,'Grading_Reference'!E16,"F")))))),IF(S11&gt;='Grading_Reference'!B2,'Grading_Reference'!E2,IF(S11&gt;='Grading_Reference'!B3,'Grading_Reference'!E3,IF(S11&gt;='Grading_Reference'!B4,'Grading_Reference'!E4,IF(S11&gt;='Grading_Reference'!B5,'Grading_Reference'!E5,IF(S11&gt;='Grading_Reference'!B6,'Grading_Reference'!E6,IF(S11&gt;='Grading_Reference'!B7,'Grading_Reference'!E7,IF(S11&gt;='Grading_Reference'!B8,'Grading_Reference'!E8,"F")))))))),IF(U11="ABSENT","Ab",IF(U11="FAIL","F",U11)))</f>
        <v>A</v>
      </c>
      <c r="AH11" s="9" t="n">
        <f>INDEX('Course_Config'!$F$2:$F$7,AU11)</f>
        <v>4</v>
      </c>
      <c r="AI11" s="9" t="str">
        <v>2026-27</v>
      </c>
      <c r="AJ11" s="9" t="str">
        <v>Oct 2026 TEST</v>
      </c>
      <c r="AK11" s="9" t="str">
        <v>I</v>
      </c>
      <c r="AL11" s="9" t="n">
        <f>IF(INDEX('Course_Config'!$H$2:$H$7,AU11)=1,COUNTIFS('Student_Marks'!$B$2:$B$49,A11,'Student_Marks'!$F$2:$F$49,C11,'Student_Marks'!$D$2:$D$49,AP11,'Student_Marks'!$E$2:$E$49,AK11,'Student_Marks'!$H$2:$H$49,AI11,'Student_Marks'!$I$2:$I$49,AJ11,'Student_Marks'!$K$2:$K$49,"&gt;=0",'Student_Marks'!$K$2:$K$49,"&lt;&gt;")+COUNTIFS('Student_Marks'!$B$2:$B$49,A11,'Student_Marks'!$F$2:$F$49,C11,'Student_Marks'!$D$2:$D$49,AP11,'Student_Marks'!$E$2:$E$49,AK11,'Student_Marks'!$H$2:$H$49,AI11,'Student_Marks'!$I$2:$I$49,AJ11,'Student_Marks'!$K$2:$K$49,"AB"),0)+IF(INDEX('Course_Config'!$I$2:$I$7,AU11)=1,COUNTIFS('Student_Marks'!$B$2:$B$49,A11,'Student_Marks'!$F$2:$F$49,C11,'Student_Marks'!$D$2:$D$49,AP11,'Student_Marks'!$E$2:$E$49,AK11,'Student_Marks'!$H$2:$H$49,AI11,'Student_Marks'!$I$2:$I$49,AJ11,'Student_Marks'!$L$2:$L$49,"&gt;=0",'Student_Marks'!$L$2:$L$49,"&lt;&gt;")+COUNTIFS('Student_Marks'!$B$2:$B$49,A11,'Student_Marks'!$F$2:$F$49,C11,'Student_Marks'!$D$2:$D$49,AP11,'Student_Marks'!$E$2:$E$49,AK11,'Student_Marks'!$H$2:$H$49,AI11,'Student_Marks'!$I$2:$I$49,AJ11,'Student_Marks'!$L$2:$L$49,"AB"),0)+IF(INDEX('Course_Config'!$J$2:$J$7,AU11)=1,COUNTIFS('Student_Marks'!$B$2:$B$49,A11,'Student_Marks'!$F$2:$F$49,C11,'Student_Marks'!$D$2:$D$49,AP11,'Student_Marks'!$E$2:$E$49,AK11,'Student_Marks'!$H$2:$H$49,AI11,'Student_Marks'!$I$2:$I$49,AJ11,'Student_Marks'!$M$2:$M$49,"&gt;=0",'Student_Marks'!$M$2:$M$49,"&lt;&gt;")+COUNTIFS('Student_Marks'!$B$2:$B$49,A11,'Student_Marks'!$F$2:$F$49,C11,'Student_Marks'!$D$2:$D$49,AP11,'Student_Marks'!$E$2:$E$49,AK11,'Student_Marks'!$H$2:$H$49,AI11,'Student_Marks'!$I$2:$I$49,AJ11,'Student_Marks'!$M$2:$M$49,"AB"),0)</f>
        <v>12</v>
      </c>
      <c r="AM11" s="9" t="n">
        <f>IF(INDEX('Course_Config'!$H$2:$H$7,AU11)=1,COUNTIFS('Student_Marks'!$B$2:$B$49,A11,'Student_Marks'!$F$2:$F$49,C11,'Student_Marks'!$D$2:$D$49,AP11,'Student_Marks'!$E$2:$E$49,AK11,'Student_Marks'!$H$2:$H$49,AI11,'Student_Marks'!$I$2:$I$49,AJ11,'Student_Marks'!$K$2:$K$49,"AB"),0)+IF(INDEX('Course_Config'!$I$2:$I$7,AU11)=1,COUNTIFS('Student_Marks'!$B$2:$B$49,A11,'Student_Marks'!$F$2:$F$49,C11,'Student_Marks'!$D$2:$D$49,AP11,'Student_Marks'!$E$2:$E$49,AK11,'Student_Marks'!$H$2:$H$49,AI11,'Student_Marks'!$I$2:$I$49,AJ11,'Student_Marks'!$L$2:$L$49,"AB"),0)+IF(INDEX('Course_Config'!$J$2:$J$7,AU11)=1,COUNTIFS('Student_Marks'!$B$2:$B$49,A11,'Student_Marks'!$F$2:$F$49,C11,'Student_Marks'!$D$2:$D$49,AP11,'Student_Marks'!$E$2:$E$49,AK11,'Student_Marks'!$H$2:$H$49,AI11,'Student_Marks'!$I$2:$I$49,AJ11,'Student_Marks'!$M$2:$M$49,"AB"),0)</f>
        <v>0</v>
      </c>
      <c r="AN11" s="9" t="n">
        <f>COUNTIFS('Student_Marks'!$B$2:$B$49,A11,'Student_Marks'!$F$2:$F$49,C11,'Student_Marks'!$D$2:$D$49,AP11,'Student_Marks'!$E$2:$E$49,AK11,'Student_Marks'!$H$2:$H$49,AI11,'Student_Marks'!$I$2:$I$49,AJ11,'Student_Marks'!$Q$2:$Q$49,"INVALID")</f>
        <v>0</v>
      </c>
      <c r="AO11" s="9" t="n">
        <f>IF(AND(N11&gt;0,ISNUMBER(K11)),IF(K11&lt;IF(INDEX('Course_Config'!$AH$2:$AH$7,AU11)=1,ROUNDUP(N11*INDEX('Course_Config'!$AC$2:$AC$7,AU11)/100,0),N11*INDEX('Course_Config'!$AC$2:$AC$7,AU11)/100),1,0),0)+IF(AND(O11&gt;0,ISNUMBER(L11)),IF(L11&lt;IF(INDEX('Course_Config'!$AH$2:$AH$7,AU11)=1,ROUNDUP(O11*INDEX('Course_Config'!$AD$2:$AD$7,AU11)/100,0),O11*INDEX('Course_Config'!$AD$2:$AD$7,AU11)/100),1,0),0)+IF(AND(P11&gt;0,ISNUMBER(M11)),IF(M11&lt;IF(INDEX('Course_Config'!$AH$2:$AH$7,AU11)=1,ROUNDUP(P11*INDEX('Course_Config'!$AE$2:$AE$7,AU11)/100,0),P11*INDEX('Course_Config'!$AE$2:$AE$7,AU11)/100),1,0),0)</f>
        <v>0</v>
      </c>
      <c r="AP11" s="9" t="str">
        <v>[TEST] B.Arch. Architecture</v>
      </c>
      <c r="AQ11" s="9" t="n">
        <f>IF(COUNTIFS('Student_Marks'!$B$2:$B$49,A11,'Student_Marks'!$F$2:$F$49,C11,'Student_Marks'!$D$2:$D$49,AP11,'Student_Marks'!$E$2:$E$49,AK11,'Student_Marks'!$H$2:$H$49,AI11,'Student_Marks'!$I$2:$I$49,AJ11,'Student_Marks'!$J$2:$J$49,"CA1")&gt;1,1,0)+IF(COUNTIFS('Student_Marks'!$B$2:$B$49,A11,'Student_Marks'!$F$2:$F$49,C11,'Student_Marks'!$D$2:$D$49,AP11,'Student_Marks'!$E$2:$E$49,AK11,'Student_Marks'!$H$2:$H$49,AI11,'Student_Marks'!$I$2:$I$49,AJ11,'Student_Marks'!$J$2:$J$49,"CA2")&gt;1,1,0)+IF(COUNTIFS('Student_Marks'!$B$2:$B$49,A11,'Student_Marks'!$F$2:$F$49,C11,'Student_Marks'!$D$2:$D$49,AP11,'Student_Marks'!$E$2:$E$49,AK11,'Student_Marks'!$H$2:$H$49,AI11,'Student_Marks'!$I$2:$I$49,AJ11,'Student_Marks'!$J$2:$J$49,"CA3")&gt;1,1,0)+IF(COUNTIFS('Student_Marks'!$B$2:$B$49,A11,'Student_Marks'!$F$2:$F$49,C11,'Student_Marks'!$D$2:$D$49,AP11,'Student_Marks'!$E$2:$E$49,AK11,'Student_Marks'!$H$2:$H$49,AI11,'Student_Marks'!$I$2:$I$49,AJ11,'Student_Marks'!$J$2:$J$49,"ESE")&gt;1,1,0)</f>
        <v>0</v>
      </c>
      <c r="AR11" s="9" t="n">
        <f>INDEX('Course_Config'!$AJ$2:$AJ$7,AU11)</f>
        <v>1</v>
      </c>
      <c r="AS11" s="9" t="str">
        <f>IF(J11="TG","ELIGIBLE","NOT_ELIGIBLE")</f>
        <v>ELIGIBLE</v>
      </c>
      <c r="AT11" s="9" t="str">
        <v>TEST-ARCH</v>
      </c>
      <c r="AU11" s="9" t="n">
        <f>SUMIFS('Course_Config'!$AK$2:$AK$7,'Course_Config'!$AA$2:$AA$7,AP11&amp;"|"&amp;C11&amp;"|"&amp;AK11)</f>
        <v>4</v>
      </c>
      <c r="AV11" s="9" t="n">
        <f>4*SUM(INDEX('Course_Config'!$H$2:$H$7,AU11),INDEX('Course_Config'!$I$2:$I$7,AU11),INDEX('Course_Config'!$J$2:$J$7,AU11))</f>
        <v>12</v>
      </c>
    </row>
    <row r="12">
      <c r="A12" s="9" t="str">
        <v>TEST5001</v>
      </c>
      <c r="B12" s="9" t="str">
        <v>Test Student 5-01 (PASS)</v>
      </c>
      <c r="C12" s="9" t="str">
        <v>T502</v>
      </c>
      <c r="D12" s="9" t="str">
        <v>Applied Studio &amp; Skills</v>
      </c>
      <c r="E12" s="9" t="str">
        <f>INDEX('Course_Config'!$E$2:$E$7,AU12)</f>
        <v>Architecture</v>
      </c>
      <c r="F12" s="9" t="n">
        <f>IF(INDEX('Course_Config'!$H$2:$H$7,AU12)=1,SUM(INDEX('Course_Config'!$K$2:$K$7,AU12),INDEX('Course_Config'!$L$2:$L$7,AU12),INDEX('Course_Config'!$M$2:$M$7,AU12)),0)+IF(INDEX('Course_Config'!$I$2:$I$7,AU12)=1,SUM(INDEX('Course_Config'!$N$2:$N$7,AU12),INDEX('Course_Config'!$O$2:$O$7,AU12),INDEX('Course_Config'!$P$2:$P$7,AU12)),0)+IF(INDEX('Course_Config'!$J$2:$J$7,AU12)=1,SUM(INDEX('Course_Config'!$Q$2:$Q$7,AU12),INDEX('Course_Config'!$R$2:$R$7,AU12),INDEX('Course_Config'!$S$2:$S$7,AU12)),0)</f>
        <v>60</v>
      </c>
      <c r="G12" s="9" t="n">
        <f>IF(INDEX('Course_Config'!$H$2:$H$7,AU12)=1,SUM(SUMIFS('Student_Marks'!$K$2:$K$49,'Student_Marks'!$B$2:$B$49,A12,'Student_Marks'!$F$2:$F$49,C12,'Student_Marks'!$D$2:$D$49,AP12,'Student_Marks'!$E$2:$E$49,AK12,'Student_Marks'!$H$2:$H$49,AI12,'Student_Marks'!$I$2:$I$49,AJ12,'Student_Marks'!$J$2:$J$49,"CA1"),SUMIFS('Student_Marks'!$K$2:$K$49,'Student_Marks'!$B$2:$B$49,A12,'Student_Marks'!$F$2:$F$49,C12,'Student_Marks'!$D$2:$D$49,AP12,'Student_Marks'!$E$2:$E$49,AK12,'Student_Marks'!$H$2:$H$49,AI12,'Student_Marks'!$I$2:$I$49,AJ12,'Student_Marks'!$J$2:$J$49,"CA2"),SUMIFS('Student_Marks'!$K$2:$K$49,'Student_Marks'!$B$2:$B$49,A12,'Student_Marks'!$F$2:$F$49,C12,'Student_Marks'!$D$2:$D$49,AP12,'Student_Marks'!$E$2:$E$49,AK12,'Student_Marks'!$H$2:$H$49,AI12,'Student_Marks'!$I$2:$I$49,AJ12,'Student_Marks'!$J$2:$J$49,"CA3")),0)+IF(INDEX('Course_Config'!$I$2:$I$7,AU12)=1,SUM(SUMIFS('Student_Marks'!$L$2:$L$49,'Student_Marks'!$B$2:$B$49,A12,'Student_Marks'!$F$2:$F$49,C12,'Student_Marks'!$D$2:$D$49,AP12,'Student_Marks'!$E$2:$E$49,AK12,'Student_Marks'!$H$2:$H$49,AI12,'Student_Marks'!$I$2:$I$49,AJ12,'Student_Marks'!$J$2:$J$49,"CA1"),SUMIFS('Student_Marks'!$L$2:$L$49,'Student_Marks'!$B$2:$B$49,A12,'Student_Marks'!$F$2:$F$49,C12,'Student_Marks'!$D$2:$D$49,AP12,'Student_Marks'!$E$2:$E$49,AK12,'Student_Marks'!$H$2:$H$49,AI12,'Student_Marks'!$I$2:$I$49,AJ12,'Student_Marks'!$J$2:$J$49,"CA2"),SUMIFS('Student_Marks'!$L$2:$L$49,'Student_Marks'!$B$2:$B$49,A12,'Student_Marks'!$F$2:$F$49,C12,'Student_Marks'!$D$2:$D$49,AP12,'Student_Marks'!$E$2:$E$49,AK12,'Student_Marks'!$H$2:$H$49,AI12,'Student_Marks'!$I$2:$I$49,AJ12,'Student_Marks'!$J$2:$J$49,"CA3")),0)+IF(INDEX('Course_Config'!$J$2:$J$7,AU12)=1,SUM(SUMIFS('Student_Marks'!$M$2:$M$49,'Student_Marks'!$B$2:$B$49,A12,'Student_Marks'!$F$2:$F$49,C12,'Student_Marks'!$D$2:$D$49,AP12,'Student_Marks'!$E$2:$E$49,AK12,'Student_Marks'!$H$2:$H$49,AI12,'Student_Marks'!$I$2:$I$49,AJ12,'Student_Marks'!$J$2:$J$49,"CA1"),SUMIFS('Student_Marks'!$M$2:$M$49,'Student_Marks'!$B$2:$B$49,A12,'Student_Marks'!$F$2:$F$49,C12,'Student_Marks'!$D$2:$D$49,AP12,'Student_Marks'!$E$2:$E$49,AK12,'Student_Marks'!$H$2:$H$49,AI12,'Student_Marks'!$I$2:$I$49,AJ12,'Student_Marks'!$J$2:$J$49,"CA2"),SUMIFS('Student_Marks'!$M$2:$M$49,'Student_Marks'!$B$2:$B$49,A12,'Student_Marks'!$F$2:$F$49,C12,'Student_Marks'!$D$2:$D$49,AP12,'Student_Marks'!$E$2:$E$49,AK12,'Student_Marks'!$H$2:$H$49,AI12,'Student_Marks'!$I$2:$I$49,AJ12,'Student_Marks'!$J$2:$J$49,"CA3")),0)</f>
        <v>48</v>
      </c>
      <c r="H12" s="9" t="n">
        <f>IF(F12=0,0,G12/F12*100)</f>
        <v>80</v>
      </c>
      <c r="I12" s="9" t="n">
        <f>IF(INDEX('Course_Config'!$AH$2:$AH$7,AU12)=1,ROUNDUP(F12*INDEX('Course_Config'!$AF$2:$AF$7,AU12)/100,0),F12*INDEX('Course_Config'!$AF$2:$AF$7,AU12)/100)</f>
        <v>24</v>
      </c>
      <c r="J12" s="9" t="str">
        <f>IF((IF(INDEX('Course_Config'!$H$2:$H$7,AU12)=1,COUNTIFS('Student_Marks'!$B$2:$B$49,A12,'Student_Marks'!$F$2:$F$49,C12,'Student_Marks'!$D$2:$D$49,AP12,'Student_Marks'!$E$2:$E$49,AK12,'Student_Marks'!$H$2:$H$49,AI12,'Student_Marks'!$I$2:$I$49,AJ12,'Student_Marks'!$J$2:$J$49,"CA1",'Student_Marks'!$K$2:$K$49,"&gt;=0",'Student_Marks'!$K$2:$K$49,"&lt;&gt;"),0)+IF(INDEX('Course_Config'!$I$2:$I$7,AU12)=1,COUNTIFS('Student_Marks'!$B$2:$B$49,A12,'Student_Marks'!$F$2:$F$49,C12,'Student_Marks'!$D$2:$D$49,AP12,'Student_Marks'!$E$2:$E$49,AK12,'Student_Marks'!$H$2:$H$49,AI12,'Student_Marks'!$I$2:$I$49,AJ12,'Student_Marks'!$J$2:$J$49,"CA1",'Student_Marks'!$L$2:$L$49,"&gt;=0",'Student_Marks'!$L$2:$L$49,"&lt;&gt;"),0)+IF(INDEX('Course_Config'!$J$2:$J$7,AU12)=1,COUNTIFS('Student_Marks'!$B$2:$B$49,A12,'Student_Marks'!$F$2:$F$49,C12,'Student_Marks'!$D$2:$D$49,AP12,'Student_Marks'!$E$2:$E$49,AK12,'Student_Marks'!$H$2:$H$49,AI12,'Student_Marks'!$I$2:$I$49,AJ12,'Student_Marks'!$J$2:$J$49,"CA1",'Student_Marks'!$M$2:$M$49,"&gt;=0",'Student_Marks'!$M$2:$M$49,"&lt;&gt;"),0)+IF(INDEX('Course_Config'!$H$2:$H$7,AU12)=1,COUNTIFS('Student_Marks'!$B$2:$B$49,A12,'Student_Marks'!$F$2:$F$49,C12,'Student_Marks'!$D$2:$D$49,AP12,'Student_Marks'!$E$2:$E$49,AK12,'Student_Marks'!$H$2:$H$49,AI12,'Student_Marks'!$I$2:$I$49,AJ12,'Student_Marks'!$J$2:$J$49,"CA2",'Student_Marks'!$K$2:$K$49,"&gt;=0",'Student_Marks'!$K$2:$K$49,"&lt;&gt;"),0)+IF(INDEX('Course_Config'!$I$2:$I$7,AU12)=1,COUNTIFS('Student_Marks'!$B$2:$B$49,A12,'Student_Marks'!$F$2:$F$49,C12,'Student_Marks'!$D$2:$D$49,AP12,'Student_Marks'!$E$2:$E$49,AK12,'Student_Marks'!$H$2:$H$49,AI12,'Student_Marks'!$I$2:$I$49,AJ12,'Student_Marks'!$J$2:$J$49,"CA2",'Student_Marks'!$L$2:$L$49,"&gt;=0",'Student_Marks'!$L$2:$L$49,"&lt;&gt;"),0)+IF(INDEX('Course_Config'!$J$2:$J$7,AU12)=1,COUNTIFS('Student_Marks'!$B$2:$B$49,A12,'Student_Marks'!$F$2:$F$49,C12,'Student_Marks'!$D$2:$D$49,AP12,'Student_Marks'!$E$2:$E$49,AK12,'Student_Marks'!$H$2:$H$49,AI12,'Student_Marks'!$I$2:$I$49,AJ12,'Student_Marks'!$J$2:$J$49,"CA2",'Student_Marks'!$M$2:$M$49,"&gt;=0",'Student_Marks'!$M$2:$M$49,"&lt;&gt;"),0)+IF(INDEX('Course_Config'!$H$2:$H$7,AU12)=1,COUNTIFS('Student_Marks'!$B$2:$B$49,A12,'Student_Marks'!$F$2:$F$49,C12,'Student_Marks'!$D$2:$D$49,AP12,'Student_Marks'!$E$2:$E$49,AK12,'Student_Marks'!$H$2:$H$49,AI12,'Student_Marks'!$I$2:$I$49,AJ12,'Student_Marks'!$J$2:$J$49,"CA3",'Student_Marks'!$K$2:$K$49,"&gt;=0",'Student_Marks'!$K$2:$K$49,"&lt;&gt;"),0)+IF(INDEX('Course_Config'!$I$2:$I$7,AU12)=1,COUNTIFS('Student_Marks'!$B$2:$B$49,A12,'Student_Marks'!$F$2:$F$49,C12,'Student_Marks'!$D$2:$D$49,AP12,'Student_Marks'!$E$2:$E$49,AK12,'Student_Marks'!$H$2:$H$49,AI12,'Student_Marks'!$I$2:$I$49,AJ12,'Student_Marks'!$J$2:$J$49,"CA3",'Student_Marks'!$L$2:$L$49,"&gt;=0",'Student_Marks'!$L$2:$L$49,"&lt;&gt;"),0)+IF(INDEX('Course_Config'!$J$2:$J$7,AU12)=1,COUNTIFS('Student_Marks'!$B$2:$B$49,A12,'Student_Marks'!$F$2:$F$49,C12,'Student_Marks'!$D$2:$D$49,AP12,'Student_Marks'!$E$2:$E$49,AK12,'Student_Marks'!$H$2:$H$49,AI12,'Student_Marks'!$I$2:$I$49,AJ12,'Student_Marks'!$J$2:$J$49,"CA3",'Student_Marks'!$M$2:$M$49,"&gt;=0",'Student_Marks'!$M$2:$M$49,"&lt;&gt;"),0))&lt;AV12*3/4,"PENDING",IF(G12&lt;I12,"TNG","TG"))</f>
        <v>TG</v>
      </c>
      <c r="K12" s="9" t="str">
        <f>IF(INDEX('Course_Config'!$H$2:$H$7,AU12)=0,"N/A",IF(COUNTIFS('Student_Marks'!$B$2:$B$49,A12,'Student_Marks'!$F$2:$F$49,C12,'Student_Marks'!$D$2:$D$49,AP12,'Student_Marks'!$E$2:$E$49,AK12,'Student_Marks'!$H$2:$H$49,AI12,'Student_Marks'!$I$2:$I$49,AJ12,'Student_Marks'!$J$2:$J$49,"ESE",'Student_Marks'!$K$2:$K$49,"AB")&gt;0,"AB",IF(COUNTIFS('Student_Marks'!$B$2:$B$49,A12,'Student_Marks'!$F$2:$F$49,C12,'Student_Marks'!$D$2:$D$49,AP12,'Student_Marks'!$E$2:$E$49,AK12,'Student_Marks'!$H$2:$H$49,AI12,'Student_Marks'!$I$2:$I$49,AJ12,'Student_Marks'!$J$2:$J$49,"ESE",'Student_Marks'!$K$2:$K$49,"&gt;=0",'Student_Marks'!$K$2:$K$49,"&lt;&gt;")=0,"PENDING",SUMIFS('Student_Marks'!$K$2:$K$49,'Student_Marks'!$B$2:$B$49,A12,'Student_Marks'!$F$2:$F$49,C12,'Student_Marks'!$D$2:$D$49,AP12,'Student_Marks'!$E$2:$E$49,AK12,'Student_Marks'!$H$2:$H$49,AI12,'Student_Marks'!$I$2:$I$49,AJ12,'Student_Marks'!$J$2:$J$49,"ESE"))))</f>
        <v>N/A</v>
      </c>
      <c r="L12" s="9" t="n">
        <f>IF(INDEX('Course_Config'!$I$2:$I$7,AU12)=0,"N/A",IF(COUNTIFS('Student_Marks'!$B$2:$B$49,A12,'Student_Marks'!$F$2:$F$49,C12,'Student_Marks'!$D$2:$D$49,AP12,'Student_Marks'!$E$2:$E$49,AK12,'Student_Marks'!$H$2:$H$49,AI12,'Student_Marks'!$I$2:$I$49,AJ12,'Student_Marks'!$J$2:$J$49,"ESE",'Student_Marks'!$L$2:$L$49,"AB")&gt;0,"AB",IF(COUNTIFS('Student_Marks'!$B$2:$B$49,A12,'Student_Marks'!$F$2:$F$49,C12,'Student_Marks'!$D$2:$D$49,AP12,'Student_Marks'!$E$2:$E$49,AK12,'Student_Marks'!$H$2:$H$49,AI12,'Student_Marks'!$I$2:$I$49,AJ12,'Student_Marks'!$J$2:$J$49,"ESE",'Student_Marks'!$L$2:$L$49,"&gt;=0",'Student_Marks'!$L$2:$L$49,"&lt;&gt;")=0,"PENDING",SUMIFS('Student_Marks'!$L$2:$L$49,'Student_Marks'!$B$2:$B$49,A12,'Student_Marks'!$F$2:$F$49,C12,'Student_Marks'!$D$2:$D$49,AP12,'Student_Marks'!$E$2:$E$49,AK12,'Student_Marks'!$H$2:$H$49,AI12,'Student_Marks'!$I$2:$I$49,AJ12,'Student_Marks'!$J$2:$J$49,"ESE"))))</f>
        <v>24</v>
      </c>
      <c r="M12" s="9" t="n">
        <f>IF(INDEX('Course_Config'!$J$2:$J$7,AU12)=0,"N/A",IF(COUNTIFS('Student_Marks'!$B$2:$B$49,A12,'Student_Marks'!$F$2:$F$49,C12,'Student_Marks'!$D$2:$D$49,AP12,'Student_Marks'!$E$2:$E$49,AK12,'Student_Marks'!$H$2:$H$49,AI12,'Student_Marks'!$I$2:$I$49,AJ12,'Student_Marks'!$J$2:$J$49,"ESE",'Student_Marks'!$M$2:$M$49,"AB")&gt;0,"AB",IF(COUNTIFS('Student_Marks'!$B$2:$B$49,A12,'Student_Marks'!$F$2:$F$49,C12,'Student_Marks'!$D$2:$D$49,AP12,'Student_Marks'!$E$2:$E$49,AK12,'Student_Marks'!$H$2:$H$49,AI12,'Student_Marks'!$I$2:$I$49,AJ12,'Student_Marks'!$J$2:$J$49,"ESE",'Student_Marks'!$M$2:$M$49,"&gt;=0",'Student_Marks'!$M$2:$M$49,"&lt;&gt;")=0,"PENDING",SUMIFS('Student_Marks'!$M$2:$M$49,'Student_Marks'!$B$2:$B$49,A12,'Student_Marks'!$F$2:$F$49,C12,'Student_Marks'!$D$2:$D$49,AP12,'Student_Marks'!$E$2:$E$49,AK12,'Student_Marks'!$H$2:$H$49,AI12,'Student_Marks'!$I$2:$I$49,AJ12,'Student_Marks'!$J$2:$J$49,"ESE"))))</f>
        <v>24</v>
      </c>
      <c r="N12" s="9" t="n">
        <f>IF(INDEX('Course_Config'!$H$2:$H$7,AU12)=1,INDEX('Course_Config'!$T$2:$T$7,AU12),0)</f>
        <v>0</v>
      </c>
      <c r="O12" s="9" t="n">
        <f>IF(INDEX('Course_Config'!$I$2:$I$7,AU12)=1,INDEX('Course_Config'!$U$2:$U$7,AU12),0)</f>
        <v>30</v>
      </c>
      <c r="P12" s="9" t="n">
        <f>IF(INDEX('Course_Config'!$J$2:$J$7,AU12)=1,INDEX('Course_Config'!$V$2:$V$7,AU12),0)</f>
        <v>30</v>
      </c>
      <c r="Q12" s="9" t="n">
        <f>SUM(F12,N12:P12)</f>
        <v>120</v>
      </c>
      <c r="R12" s="9" t="n">
        <f>SUM(G12,K12:M12)</f>
        <v>96</v>
      </c>
      <c r="S12" s="11" t="n">
        <f>IF(Q12=0,0,R12/Q12*100)</f>
        <v>80</v>
      </c>
      <c r="T12" s="9" t="n">
        <f>INDEX('Course_Config'!$AG$2:$AG$7,AU12)</f>
        <v>45</v>
      </c>
      <c r="U12" s="9" t="str">
        <f>IF(OR(AR12&lt;&gt;1,AN12&gt;0,AQ12&gt;0),"WITHHELD",IF(J12="TNG","TNG",IF(AL12&lt;AV12,"PENDING",IF(AM12&gt;0,"ABSENT",IF(OR(AO12&gt;0,S12&lt;T12),"FAIL","PASS")))))</f>
        <v>PASS</v>
      </c>
      <c r="V12" s="9" t="n">
        <f>IF(U12="PASS",IF(E12="Architecture",IF(S12&gt;='Grading_Reference'!B11,'Grading_Reference'!D11,IF(S12&gt;='Grading_Reference'!B12,'Grading_Reference'!D12,IF(S12&gt;='Grading_Reference'!B13,'Grading_Reference'!D13,IF(S12&gt;='Grading_Reference'!B14,'Grading_Reference'!D14,IF(S12&gt;='Grading_Reference'!B15,'Grading_Reference'!D15,IF(S12&gt;='Grading_Reference'!B16,'Grading_Reference'!D16,0)))))),IF(S12&gt;='Grading_Reference'!B2,'Grading_Reference'!D2,IF(S12&gt;='Grading_Reference'!B3,'Grading_Reference'!D3,IF(S12&gt;='Grading_Reference'!B4,'Grading_Reference'!D4,IF(S12&gt;='Grading_Reference'!B5,'Grading_Reference'!D5,IF(S12&gt;='Grading_Reference'!B6,'Grading_Reference'!D6,IF(S12&gt;='Grading_Reference'!B7,'Grading_Reference'!D7,IF(S12&gt;='Grading_Reference'!B8,'Grading_Reference'!D8,0)))))))),0)</f>
        <v>9</v>
      </c>
      <c r="W12" s="9" t="n">
        <f>AH12*V12</f>
        <v>27</v>
      </c>
      <c r="X12" s="11" t="n">
        <f>'SGPA'!F5</f>
        <v>9</v>
      </c>
      <c r="Y12" s="9"/>
      <c r="Z12" s="9" t="n">
        <v>0</v>
      </c>
      <c r="AA12" s="9" t="str">
        <f>"NOT_REQUIRED"</f>
        <v>NOT_REQUIRED</v>
      </c>
      <c r="AB12" s="9" t="str">
        <v>NOT_REQUIRED</v>
      </c>
      <c r="AC12" s="9" t="str">
        <f>IF(J12="TNG","TNG",U12)</f>
        <v>PASS</v>
      </c>
      <c r="AD12" s="9" t="n">
        <f>V12</f>
        <v>9</v>
      </c>
      <c r="AE12" s="9" t="n">
        <f>V12</f>
        <v>9</v>
      </c>
      <c r="AF12" s="9" t="n">
        <f>V12</f>
        <v>9</v>
      </c>
      <c r="AG12" s="9" t="str">
        <f>IF(U12="PASS",IF(E12="Architecture",IF(S12&gt;='Grading_Reference'!B11,'Grading_Reference'!E11,IF(S12&gt;='Grading_Reference'!B12,'Grading_Reference'!E12,IF(S12&gt;='Grading_Reference'!B13,'Grading_Reference'!E13,IF(S12&gt;='Grading_Reference'!B14,'Grading_Reference'!E14,IF(S12&gt;='Grading_Reference'!B15,'Grading_Reference'!E15,IF(S12&gt;='Grading_Reference'!B16,'Grading_Reference'!E16,"F")))))),IF(S12&gt;='Grading_Reference'!B2,'Grading_Reference'!E2,IF(S12&gt;='Grading_Reference'!B3,'Grading_Reference'!E3,IF(S12&gt;='Grading_Reference'!B4,'Grading_Reference'!E4,IF(S12&gt;='Grading_Reference'!B5,'Grading_Reference'!E5,IF(S12&gt;='Grading_Reference'!B6,'Grading_Reference'!E6,IF(S12&gt;='Grading_Reference'!B7,'Grading_Reference'!E7,IF(S12&gt;='Grading_Reference'!B8,'Grading_Reference'!E8,"F")))))))),IF(U12="ABSENT","Ab",IF(U12="FAIL","F",U12)))</f>
        <v>A</v>
      </c>
      <c r="AH12" s="9" t="n">
        <f>INDEX('Course_Config'!$F$2:$F$7,AU12)</f>
        <v>3</v>
      </c>
      <c r="AI12" s="9" t="str">
        <v>2026-27</v>
      </c>
      <c r="AJ12" s="9" t="str">
        <v>Oct 2026 TEST</v>
      </c>
      <c r="AK12" s="9" t="str">
        <v>I</v>
      </c>
      <c r="AL12" s="9" t="n">
        <f>IF(INDEX('Course_Config'!$H$2:$H$7,AU12)=1,COUNTIFS('Student_Marks'!$B$2:$B$49,A12,'Student_Marks'!$F$2:$F$49,C12,'Student_Marks'!$D$2:$D$49,AP12,'Student_Marks'!$E$2:$E$49,AK12,'Student_Marks'!$H$2:$H$49,AI12,'Student_Marks'!$I$2:$I$49,AJ12,'Student_Marks'!$K$2:$K$49,"&gt;=0",'Student_Marks'!$K$2:$K$49,"&lt;&gt;")+COUNTIFS('Student_Marks'!$B$2:$B$49,A12,'Student_Marks'!$F$2:$F$49,C12,'Student_Marks'!$D$2:$D$49,AP12,'Student_Marks'!$E$2:$E$49,AK12,'Student_Marks'!$H$2:$H$49,AI12,'Student_Marks'!$I$2:$I$49,AJ12,'Student_Marks'!$K$2:$K$49,"AB"),0)+IF(INDEX('Course_Config'!$I$2:$I$7,AU12)=1,COUNTIFS('Student_Marks'!$B$2:$B$49,A12,'Student_Marks'!$F$2:$F$49,C12,'Student_Marks'!$D$2:$D$49,AP12,'Student_Marks'!$E$2:$E$49,AK12,'Student_Marks'!$H$2:$H$49,AI12,'Student_Marks'!$I$2:$I$49,AJ12,'Student_Marks'!$L$2:$L$49,"&gt;=0",'Student_Marks'!$L$2:$L$49,"&lt;&gt;")+COUNTIFS('Student_Marks'!$B$2:$B$49,A12,'Student_Marks'!$F$2:$F$49,C12,'Student_Marks'!$D$2:$D$49,AP12,'Student_Marks'!$E$2:$E$49,AK12,'Student_Marks'!$H$2:$H$49,AI12,'Student_Marks'!$I$2:$I$49,AJ12,'Student_Marks'!$L$2:$L$49,"AB"),0)+IF(INDEX('Course_Config'!$J$2:$J$7,AU12)=1,COUNTIFS('Student_Marks'!$B$2:$B$49,A12,'Student_Marks'!$F$2:$F$49,C12,'Student_Marks'!$D$2:$D$49,AP12,'Student_Marks'!$E$2:$E$49,AK12,'Student_Marks'!$H$2:$H$49,AI12,'Student_Marks'!$I$2:$I$49,AJ12,'Student_Marks'!$M$2:$M$49,"&gt;=0",'Student_Marks'!$M$2:$M$49,"&lt;&gt;")+COUNTIFS('Student_Marks'!$B$2:$B$49,A12,'Student_Marks'!$F$2:$F$49,C12,'Student_Marks'!$D$2:$D$49,AP12,'Student_Marks'!$E$2:$E$49,AK12,'Student_Marks'!$H$2:$H$49,AI12,'Student_Marks'!$I$2:$I$49,AJ12,'Student_Marks'!$M$2:$M$49,"AB"),0)</f>
        <v>8</v>
      </c>
      <c r="AM12" s="9" t="n">
        <f>IF(INDEX('Course_Config'!$H$2:$H$7,AU12)=1,COUNTIFS('Student_Marks'!$B$2:$B$49,A12,'Student_Marks'!$F$2:$F$49,C12,'Student_Marks'!$D$2:$D$49,AP12,'Student_Marks'!$E$2:$E$49,AK12,'Student_Marks'!$H$2:$H$49,AI12,'Student_Marks'!$I$2:$I$49,AJ12,'Student_Marks'!$K$2:$K$49,"AB"),0)+IF(INDEX('Course_Config'!$I$2:$I$7,AU12)=1,COUNTIFS('Student_Marks'!$B$2:$B$49,A12,'Student_Marks'!$F$2:$F$49,C12,'Student_Marks'!$D$2:$D$49,AP12,'Student_Marks'!$E$2:$E$49,AK12,'Student_Marks'!$H$2:$H$49,AI12,'Student_Marks'!$I$2:$I$49,AJ12,'Student_Marks'!$L$2:$L$49,"AB"),0)+IF(INDEX('Course_Config'!$J$2:$J$7,AU12)=1,COUNTIFS('Student_Marks'!$B$2:$B$49,A12,'Student_Marks'!$F$2:$F$49,C12,'Student_Marks'!$D$2:$D$49,AP12,'Student_Marks'!$E$2:$E$49,AK12,'Student_Marks'!$H$2:$H$49,AI12,'Student_Marks'!$I$2:$I$49,AJ12,'Student_Marks'!$M$2:$M$49,"AB"),0)</f>
        <v>0</v>
      </c>
      <c r="AN12" s="9" t="n">
        <f>COUNTIFS('Student_Marks'!$B$2:$B$49,A12,'Student_Marks'!$F$2:$F$49,C12,'Student_Marks'!$D$2:$D$49,AP12,'Student_Marks'!$E$2:$E$49,AK12,'Student_Marks'!$H$2:$H$49,AI12,'Student_Marks'!$I$2:$I$49,AJ12,'Student_Marks'!$Q$2:$Q$49,"INVALID")</f>
        <v>0</v>
      </c>
      <c r="AO12" s="9" t="n">
        <f>IF(AND(N12&gt;0,ISNUMBER(K12)),IF(K12&lt;IF(INDEX('Course_Config'!$AH$2:$AH$7,AU12)=1,ROUNDUP(N12*INDEX('Course_Config'!$AC$2:$AC$7,AU12)/100,0),N12*INDEX('Course_Config'!$AC$2:$AC$7,AU12)/100),1,0),0)+IF(AND(O12&gt;0,ISNUMBER(L12)),IF(L12&lt;IF(INDEX('Course_Config'!$AH$2:$AH$7,AU12)=1,ROUNDUP(O12*INDEX('Course_Config'!$AD$2:$AD$7,AU12)/100,0),O12*INDEX('Course_Config'!$AD$2:$AD$7,AU12)/100),1,0),0)+IF(AND(P12&gt;0,ISNUMBER(M12)),IF(M12&lt;IF(INDEX('Course_Config'!$AH$2:$AH$7,AU12)=1,ROUNDUP(P12*INDEX('Course_Config'!$AE$2:$AE$7,AU12)/100,0),P12*INDEX('Course_Config'!$AE$2:$AE$7,AU12)/100),1,0),0)</f>
        <v>0</v>
      </c>
      <c r="AP12" s="9" t="str">
        <v>[TEST] B.Arch. Architecture</v>
      </c>
      <c r="AQ12" s="9" t="n">
        <f>IF(COUNTIFS('Student_Marks'!$B$2:$B$49,A12,'Student_Marks'!$F$2:$F$49,C12,'Student_Marks'!$D$2:$D$49,AP12,'Student_Marks'!$E$2:$E$49,AK12,'Student_Marks'!$H$2:$H$49,AI12,'Student_Marks'!$I$2:$I$49,AJ12,'Student_Marks'!$J$2:$J$49,"CA1")&gt;1,1,0)+IF(COUNTIFS('Student_Marks'!$B$2:$B$49,A12,'Student_Marks'!$F$2:$F$49,C12,'Student_Marks'!$D$2:$D$49,AP12,'Student_Marks'!$E$2:$E$49,AK12,'Student_Marks'!$H$2:$H$49,AI12,'Student_Marks'!$I$2:$I$49,AJ12,'Student_Marks'!$J$2:$J$49,"CA2")&gt;1,1,0)+IF(COUNTIFS('Student_Marks'!$B$2:$B$49,A12,'Student_Marks'!$F$2:$F$49,C12,'Student_Marks'!$D$2:$D$49,AP12,'Student_Marks'!$E$2:$E$49,AK12,'Student_Marks'!$H$2:$H$49,AI12,'Student_Marks'!$I$2:$I$49,AJ12,'Student_Marks'!$J$2:$J$49,"CA3")&gt;1,1,0)+IF(COUNTIFS('Student_Marks'!$B$2:$B$49,A12,'Student_Marks'!$F$2:$F$49,C12,'Student_Marks'!$D$2:$D$49,AP12,'Student_Marks'!$E$2:$E$49,AK12,'Student_Marks'!$H$2:$H$49,AI12,'Student_Marks'!$I$2:$I$49,AJ12,'Student_Marks'!$J$2:$J$49,"ESE")&gt;1,1,0)</f>
        <v>0</v>
      </c>
      <c r="AR12" s="9" t="n">
        <f>INDEX('Course_Config'!$AJ$2:$AJ$7,AU12)</f>
        <v>1</v>
      </c>
      <c r="AS12" s="9" t="str">
        <f>IF(J12="TG","ELIGIBLE","NOT_ELIGIBLE")</f>
        <v>ELIGIBLE</v>
      </c>
      <c r="AT12" s="9" t="str">
        <v>TEST-ARCH</v>
      </c>
      <c r="AU12" s="9" t="n">
        <f>SUMIFS('Course_Config'!$AK$2:$AK$7,'Course_Config'!$AA$2:$AA$7,AP12&amp;"|"&amp;C12&amp;"|"&amp;AK12)</f>
        <v>5</v>
      </c>
      <c r="AV12" s="9" t="n">
        <f>4*SUM(INDEX('Course_Config'!$H$2:$H$7,AU12),INDEX('Course_Config'!$I$2:$I$7,AU12),INDEX('Course_Config'!$J$2:$J$7,AU12))</f>
        <v>8</v>
      </c>
    </row>
    <row r="13">
      <c r="A13" s="9" t="str">
        <v>TEST5001</v>
      </c>
      <c r="B13" s="9" t="str">
        <v>Test Student 5-01 (PASS)</v>
      </c>
      <c r="C13" s="9" t="str">
        <v>T503</v>
      </c>
      <c r="D13" s="9" t="str">
        <v>Core Theory</v>
      </c>
      <c r="E13" s="9" t="str">
        <f>INDEX('Course_Config'!$E$2:$E$7,AU13)</f>
        <v>Architecture</v>
      </c>
      <c r="F13" s="9" t="n">
        <f>IF(INDEX('Course_Config'!$H$2:$H$7,AU13)=1,SUM(INDEX('Course_Config'!$K$2:$K$7,AU13),INDEX('Course_Config'!$L$2:$L$7,AU13),INDEX('Course_Config'!$M$2:$M$7,AU13)),0)+IF(INDEX('Course_Config'!$I$2:$I$7,AU13)=1,SUM(INDEX('Course_Config'!$N$2:$N$7,AU13),INDEX('Course_Config'!$O$2:$O$7,AU13),INDEX('Course_Config'!$P$2:$P$7,AU13)),0)+IF(INDEX('Course_Config'!$J$2:$J$7,AU13)=1,SUM(INDEX('Course_Config'!$Q$2:$Q$7,AU13),INDEX('Course_Config'!$R$2:$R$7,AU13),INDEX('Course_Config'!$S$2:$S$7,AU13)),0)</f>
        <v>30</v>
      </c>
      <c r="G13" s="9" t="n">
        <f>IF(INDEX('Course_Config'!$H$2:$H$7,AU13)=1,SUM(SUMIFS('Student_Marks'!$K$2:$K$49,'Student_Marks'!$B$2:$B$49,A13,'Student_Marks'!$F$2:$F$49,C13,'Student_Marks'!$D$2:$D$49,AP13,'Student_Marks'!$E$2:$E$49,AK13,'Student_Marks'!$H$2:$H$49,AI13,'Student_Marks'!$I$2:$I$49,AJ13,'Student_Marks'!$J$2:$J$49,"CA1"),SUMIFS('Student_Marks'!$K$2:$K$49,'Student_Marks'!$B$2:$B$49,A13,'Student_Marks'!$F$2:$F$49,C13,'Student_Marks'!$D$2:$D$49,AP13,'Student_Marks'!$E$2:$E$49,AK13,'Student_Marks'!$H$2:$H$49,AI13,'Student_Marks'!$I$2:$I$49,AJ13,'Student_Marks'!$J$2:$J$49,"CA2"),SUMIFS('Student_Marks'!$K$2:$K$49,'Student_Marks'!$B$2:$B$49,A13,'Student_Marks'!$F$2:$F$49,C13,'Student_Marks'!$D$2:$D$49,AP13,'Student_Marks'!$E$2:$E$49,AK13,'Student_Marks'!$H$2:$H$49,AI13,'Student_Marks'!$I$2:$I$49,AJ13,'Student_Marks'!$J$2:$J$49,"CA3")),0)+IF(INDEX('Course_Config'!$I$2:$I$7,AU13)=1,SUM(SUMIFS('Student_Marks'!$L$2:$L$49,'Student_Marks'!$B$2:$B$49,A13,'Student_Marks'!$F$2:$F$49,C13,'Student_Marks'!$D$2:$D$49,AP13,'Student_Marks'!$E$2:$E$49,AK13,'Student_Marks'!$H$2:$H$49,AI13,'Student_Marks'!$I$2:$I$49,AJ13,'Student_Marks'!$J$2:$J$49,"CA1"),SUMIFS('Student_Marks'!$L$2:$L$49,'Student_Marks'!$B$2:$B$49,A13,'Student_Marks'!$F$2:$F$49,C13,'Student_Marks'!$D$2:$D$49,AP13,'Student_Marks'!$E$2:$E$49,AK13,'Student_Marks'!$H$2:$H$49,AI13,'Student_Marks'!$I$2:$I$49,AJ13,'Student_Marks'!$J$2:$J$49,"CA2"),SUMIFS('Student_Marks'!$L$2:$L$49,'Student_Marks'!$B$2:$B$49,A13,'Student_Marks'!$F$2:$F$49,C13,'Student_Marks'!$D$2:$D$49,AP13,'Student_Marks'!$E$2:$E$49,AK13,'Student_Marks'!$H$2:$H$49,AI13,'Student_Marks'!$I$2:$I$49,AJ13,'Student_Marks'!$J$2:$J$49,"CA3")),0)+IF(INDEX('Course_Config'!$J$2:$J$7,AU13)=1,SUM(SUMIFS('Student_Marks'!$M$2:$M$49,'Student_Marks'!$B$2:$B$49,A13,'Student_Marks'!$F$2:$F$49,C13,'Student_Marks'!$D$2:$D$49,AP13,'Student_Marks'!$E$2:$E$49,AK13,'Student_Marks'!$H$2:$H$49,AI13,'Student_Marks'!$I$2:$I$49,AJ13,'Student_Marks'!$J$2:$J$49,"CA1"),SUMIFS('Student_Marks'!$M$2:$M$49,'Student_Marks'!$B$2:$B$49,A13,'Student_Marks'!$F$2:$F$49,C13,'Student_Marks'!$D$2:$D$49,AP13,'Student_Marks'!$E$2:$E$49,AK13,'Student_Marks'!$H$2:$H$49,AI13,'Student_Marks'!$I$2:$I$49,AJ13,'Student_Marks'!$J$2:$J$49,"CA2"),SUMIFS('Student_Marks'!$M$2:$M$49,'Student_Marks'!$B$2:$B$49,A13,'Student_Marks'!$F$2:$F$49,C13,'Student_Marks'!$D$2:$D$49,AP13,'Student_Marks'!$E$2:$E$49,AK13,'Student_Marks'!$H$2:$H$49,AI13,'Student_Marks'!$I$2:$I$49,AJ13,'Student_Marks'!$J$2:$J$49,"CA3")),0)</f>
        <v>24</v>
      </c>
      <c r="H13" s="9" t="n">
        <f>IF(F13=0,0,G13/F13*100)</f>
        <v>80</v>
      </c>
      <c r="I13" s="9" t="n">
        <f>IF(INDEX('Course_Config'!$AH$2:$AH$7,AU13)=1,ROUNDUP(F13*INDEX('Course_Config'!$AF$2:$AF$7,AU13)/100,0),F13*INDEX('Course_Config'!$AF$2:$AF$7,AU13)/100)</f>
        <v>12</v>
      </c>
      <c r="J13" s="9" t="str">
        <f>IF((IF(INDEX('Course_Config'!$H$2:$H$7,AU13)=1,COUNTIFS('Student_Marks'!$B$2:$B$49,A13,'Student_Marks'!$F$2:$F$49,C13,'Student_Marks'!$D$2:$D$49,AP13,'Student_Marks'!$E$2:$E$49,AK13,'Student_Marks'!$H$2:$H$49,AI13,'Student_Marks'!$I$2:$I$49,AJ13,'Student_Marks'!$J$2:$J$49,"CA1",'Student_Marks'!$K$2:$K$49,"&gt;=0",'Student_Marks'!$K$2:$K$49,"&lt;&gt;"),0)+IF(INDEX('Course_Config'!$I$2:$I$7,AU13)=1,COUNTIFS('Student_Marks'!$B$2:$B$49,A13,'Student_Marks'!$F$2:$F$49,C13,'Student_Marks'!$D$2:$D$49,AP13,'Student_Marks'!$E$2:$E$49,AK13,'Student_Marks'!$H$2:$H$49,AI13,'Student_Marks'!$I$2:$I$49,AJ13,'Student_Marks'!$J$2:$J$49,"CA1",'Student_Marks'!$L$2:$L$49,"&gt;=0",'Student_Marks'!$L$2:$L$49,"&lt;&gt;"),0)+IF(INDEX('Course_Config'!$J$2:$J$7,AU13)=1,COUNTIFS('Student_Marks'!$B$2:$B$49,A13,'Student_Marks'!$F$2:$F$49,C13,'Student_Marks'!$D$2:$D$49,AP13,'Student_Marks'!$E$2:$E$49,AK13,'Student_Marks'!$H$2:$H$49,AI13,'Student_Marks'!$I$2:$I$49,AJ13,'Student_Marks'!$J$2:$J$49,"CA1",'Student_Marks'!$M$2:$M$49,"&gt;=0",'Student_Marks'!$M$2:$M$49,"&lt;&gt;"),0)+IF(INDEX('Course_Config'!$H$2:$H$7,AU13)=1,COUNTIFS('Student_Marks'!$B$2:$B$49,A13,'Student_Marks'!$F$2:$F$49,C13,'Student_Marks'!$D$2:$D$49,AP13,'Student_Marks'!$E$2:$E$49,AK13,'Student_Marks'!$H$2:$H$49,AI13,'Student_Marks'!$I$2:$I$49,AJ13,'Student_Marks'!$J$2:$J$49,"CA2",'Student_Marks'!$K$2:$K$49,"&gt;=0",'Student_Marks'!$K$2:$K$49,"&lt;&gt;"),0)+IF(INDEX('Course_Config'!$I$2:$I$7,AU13)=1,COUNTIFS('Student_Marks'!$B$2:$B$49,A13,'Student_Marks'!$F$2:$F$49,C13,'Student_Marks'!$D$2:$D$49,AP13,'Student_Marks'!$E$2:$E$49,AK13,'Student_Marks'!$H$2:$H$49,AI13,'Student_Marks'!$I$2:$I$49,AJ13,'Student_Marks'!$J$2:$J$49,"CA2",'Student_Marks'!$L$2:$L$49,"&gt;=0",'Student_Marks'!$L$2:$L$49,"&lt;&gt;"),0)+IF(INDEX('Course_Config'!$J$2:$J$7,AU13)=1,COUNTIFS('Student_Marks'!$B$2:$B$49,A13,'Student_Marks'!$F$2:$F$49,C13,'Student_Marks'!$D$2:$D$49,AP13,'Student_Marks'!$E$2:$E$49,AK13,'Student_Marks'!$H$2:$H$49,AI13,'Student_Marks'!$I$2:$I$49,AJ13,'Student_Marks'!$J$2:$J$49,"CA2",'Student_Marks'!$M$2:$M$49,"&gt;=0",'Student_Marks'!$M$2:$M$49,"&lt;&gt;"),0)+IF(INDEX('Course_Config'!$H$2:$H$7,AU13)=1,COUNTIFS('Student_Marks'!$B$2:$B$49,A13,'Student_Marks'!$F$2:$F$49,C13,'Student_Marks'!$D$2:$D$49,AP13,'Student_Marks'!$E$2:$E$49,AK13,'Student_Marks'!$H$2:$H$49,AI13,'Student_Marks'!$I$2:$I$49,AJ13,'Student_Marks'!$J$2:$J$49,"CA3",'Student_Marks'!$K$2:$K$49,"&gt;=0",'Student_Marks'!$K$2:$K$49,"&lt;&gt;"),0)+IF(INDEX('Course_Config'!$I$2:$I$7,AU13)=1,COUNTIFS('Student_Marks'!$B$2:$B$49,A13,'Student_Marks'!$F$2:$F$49,C13,'Student_Marks'!$D$2:$D$49,AP13,'Student_Marks'!$E$2:$E$49,AK13,'Student_Marks'!$H$2:$H$49,AI13,'Student_Marks'!$I$2:$I$49,AJ13,'Student_Marks'!$J$2:$J$49,"CA3",'Student_Marks'!$L$2:$L$49,"&gt;=0",'Student_Marks'!$L$2:$L$49,"&lt;&gt;"),0)+IF(INDEX('Course_Config'!$J$2:$J$7,AU13)=1,COUNTIFS('Student_Marks'!$B$2:$B$49,A13,'Student_Marks'!$F$2:$F$49,C13,'Student_Marks'!$D$2:$D$49,AP13,'Student_Marks'!$E$2:$E$49,AK13,'Student_Marks'!$H$2:$H$49,AI13,'Student_Marks'!$I$2:$I$49,AJ13,'Student_Marks'!$J$2:$J$49,"CA3",'Student_Marks'!$M$2:$M$49,"&gt;=0",'Student_Marks'!$M$2:$M$49,"&lt;&gt;"),0))&lt;AV13*3/4,"PENDING",IF(G13&lt;I13,"TNG","TG"))</f>
        <v>TG</v>
      </c>
      <c r="K13" s="9" t="n">
        <f>IF(INDEX('Course_Config'!$H$2:$H$7,AU13)=0,"N/A",IF(COUNTIFS('Student_Marks'!$B$2:$B$49,A13,'Student_Marks'!$F$2:$F$49,C13,'Student_Marks'!$D$2:$D$49,AP13,'Student_Marks'!$E$2:$E$49,AK13,'Student_Marks'!$H$2:$H$49,AI13,'Student_Marks'!$I$2:$I$49,AJ13,'Student_Marks'!$J$2:$J$49,"ESE",'Student_Marks'!$K$2:$K$49,"AB")&gt;0,"AB",IF(COUNTIFS('Student_Marks'!$B$2:$B$49,A13,'Student_Marks'!$F$2:$F$49,C13,'Student_Marks'!$D$2:$D$49,AP13,'Student_Marks'!$E$2:$E$49,AK13,'Student_Marks'!$H$2:$H$49,AI13,'Student_Marks'!$I$2:$I$49,AJ13,'Student_Marks'!$J$2:$J$49,"ESE",'Student_Marks'!$K$2:$K$49,"&gt;=0",'Student_Marks'!$K$2:$K$49,"&lt;&gt;")=0,"PENDING",SUMIFS('Student_Marks'!$K$2:$K$49,'Student_Marks'!$B$2:$B$49,A13,'Student_Marks'!$F$2:$F$49,C13,'Student_Marks'!$D$2:$D$49,AP13,'Student_Marks'!$E$2:$E$49,AK13,'Student_Marks'!$H$2:$H$49,AI13,'Student_Marks'!$I$2:$I$49,AJ13,'Student_Marks'!$J$2:$J$49,"ESE"))))</f>
        <v>24</v>
      </c>
      <c r="L13" s="9" t="str">
        <f>IF(INDEX('Course_Config'!$I$2:$I$7,AU13)=0,"N/A",IF(COUNTIFS('Student_Marks'!$B$2:$B$49,A13,'Student_Marks'!$F$2:$F$49,C13,'Student_Marks'!$D$2:$D$49,AP13,'Student_Marks'!$E$2:$E$49,AK13,'Student_Marks'!$H$2:$H$49,AI13,'Student_Marks'!$I$2:$I$49,AJ13,'Student_Marks'!$J$2:$J$49,"ESE",'Student_Marks'!$L$2:$L$49,"AB")&gt;0,"AB",IF(COUNTIFS('Student_Marks'!$B$2:$B$49,A13,'Student_Marks'!$F$2:$F$49,C13,'Student_Marks'!$D$2:$D$49,AP13,'Student_Marks'!$E$2:$E$49,AK13,'Student_Marks'!$H$2:$H$49,AI13,'Student_Marks'!$I$2:$I$49,AJ13,'Student_Marks'!$J$2:$J$49,"ESE",'Student_Marks'!$L$2:$L$49,"&gt;=0",'Student_Marks'!$L$2:$L$49,"&lt;&gt;")=0,"PENDING",SUMIFS('Student_Marks'!$L$2:$L$49,'Student_Marks'!$B$2:$B$49,A13,'Student_Marks'!$F$2:$F$49,C13,'Student_Marks'!$D$2:$D$49,AP13,'Student_Marks'!$E$2:$E$49,AK13,'Student_Marks'!$H$2:$H$49,AI13,'Student_Marks'!$I$2:$I$49,AJ13,'Student_Marks'!$J$2:$J$49,"ESE"))))</f>
        <v>N/A</v>
      </c>
      <c r="M13" s="9" t="str">
        <f>IF(INDEX('Course_Config'!$J$2:$J$7,AU13)=0,"N/A",IF(COUNTIFS('Student_Marks'!$B$2:$B$49,A13,'Student_Marks'!$F$2:$F$49,C13,'Student_Marks'!$D$2:$D$49,AP13,'Student_Marks'!$E$2:$E$49,AK13,'Student_Marks'!$H$2:$H$49,AI13,'Student_Marks'!$I$2:$I$49,AJ13,'Student_Marks'!$J$2:$J$49,"ESE",'Student_Marks'!$M$2:$M$49,"AB")&gt;0,"AB",IF(COUNTIFS('Student_Marks'!$B$2:$B$49,A13,'Student_Marks'!$F$2:$F$49,C13,'Student_Marks'!$D$2:$D$49,AP13,'Student_Marks'!$E$2:$E$49,AK13,'Student_Marks'!$H$2:$H$49,AI13,'Student_Marks'!$I$2:$I$49,AJ13,'Student_Marks'!$J$2:$J$49,"ESE",'Student_Marks'!$M$2:$M$49,"&gt;=0",'Student_Marks'!$M$2:$M$49,"&lt;&gt;")=0,"PENDING",SUMIFS('Student_Marks'!$M$2:$M$49,'Student_Marks'!$B$2:$B$49,A13,'Student_Marks'!$F$2:$F$49,C13,'Student_Marks'!$D$2:$D$49,AP13,'Student_Marks'!$E$2:$E$49,AK13,'Student_Marks'!$H$2:$H$49,AI13,'Student_Marks'!$I$2:$I$49,AJ13,'Student_Marks'!$J$2:$J$49,"ESE"))))</f>
        <v>N/A</v>
      </c>
      <c r="N13" s="9" t="n">
        <f>IF(INDEX('Course_Config'!$H$2:$H$7,AU13)=1,INDEX('Course_Config'!$T$2:$T$7,AU13),0)</f>
        <v>30</v>
      </c>
      <c r="O13" s="9" t="n">
        <f>IF(INDEX('Course_Config'!$I$2:$I$7,AU13)=1,INDEX('Course_Config'!$U$2:$U$7,AU13),0)</f>
        <v>0</v>
      </c>
      <c r="P13" s="9" t="n">
        <f>IF(INDEX('Course_Config'!$J$2:$J$7,AU13)=1,INDEX('Course_Config'!$V$2:$V$7,AU13),0)</f>
        <v>0</v>
      </c>
      <c r="Q13" s="9" t="n">
        <f>SUM(F13,N13:P13)</f>
        <v>60</v>
      </c>
      <c r="R13" s="9" t="n">
        <f>SUM(G13,K13:M13)</f>
        <v>48</v>
      </c>
      <c r="S13" s="11" t="n">
        <f>IF(Q13=0,0,R13/Q13*100)</f>
        <v>80</v>
      </c>
      <c r="T13" s="9" t="n">
        <f>INDEX('Course_Config'!$AG$2:$AG$7,AU13)</f>
        <v>45</v>
      </c>
      <c r="U13" s="9" t="str">
        <f>IF(OR(AR13&lt;&gt;1,AN13&gt;0,AQ13&gt;0),"WITHHELD",IF(J13="TNG","TNG",IF(AL13&lt;AV13,"PENDING",IF(AM13&gt;0,"ABSENT",IF(OR(AO13&gt;0,S13&lt;T13),"FAIL","PASS")))))</f>
        <v>PASS</v>
      </c>
      <c r="V13" s="9" t="n">
        <f>IF(U13="PASS",IF(E13="Architecture",IF(S13&gt;='Grading_Reference'!B11,'Grading_Reference'!D11,IF(S13&gt;='Grading_Reference'!B12,'Grading_Reference'!D12,IF(S13&gt;='Grading_Reference'!B13,'Grading_Reference'!D13,IF(S13&gt;='Grading_Reference'!B14,'Grading_Reference'!D14,IF(S13&gt;='Grading_Reference'!B15,'Grading_Reference'!D15,IF(S13&gt;='Grading_Reference'!B16,'Grading_Reference'!D16,0)))))),IF(S13&gt;='Grading_Reference'!B2,'Grading_Reference'!D2,IF(S13&gt;='Grading_Reference'!B3,'Grading_Reference'!D3,IF(S13&gt;='Grading_Reference'!B4,'Grading_Reference'!D4,IF(S13&gt;='Grading_Reference'!B5,'Grading_Reference'!D5,IF(S13&gt;='Grading_Reference'!B6,'Grading_Reference'!D6,IF(S13&gt;='Grading_Reference'!B7,'Grading_Reference'!D7,IF(S13&gt;='Grading_Reference'!B8,'Grading_Reference'!D8,0)))))))),0)</f>
        <v>9</v>
      </c>
      <c r="W13" s="9" t="n">
        <f>AH13*V13</f>
        <v>18</v>
      </c>
      <c r="X13" s="11" t="n">
        <f>'SGPA'!F5</f>
        <v>9</v>
      </c>
      <c r="Y13" s="9"/>
      <c r="Z13" s="9" t="n">
        <v>0</v>
      </c>
      <c r="AA13" s="9" t="str">
        <f>"NOT_REQUIRED"</f>
        <v>NOT_REQUIRED</v>
      </c>
      <c r="AB13" s="9" t="str">
        <v>NOT_REQUIRED</v>
      </c>
      <c r="AC13" s="9" t="str">
        <f>IF(J13="TNG","TNG",U13)</f>
        <v>PASS</v>
      </c>
      <c r="AD13" s="9" t="n">
        <f>V13</f>
        <v>9</v>
      </c>
      <c r="AE13" s="9" t="n">
        <f>V13</f>
        <v>9</v>
      </c>
      <c r="AF13" s="9" t="n">
        <f>V13</f>
        <v>9</v>
      </c>
      <c r="AG13" s="9" t="str">
        <f>IF(U13="PASS",IF(E13="Architecture",IF(S13&gt;='Grading_Reference'!B11,'Grading_Reference'!E11,IF(S13&gt;='Grading_Reference'!B12,'Grading_Reference'!E12,IF(S13&gt;='Grading_Reference'!B13,'Grading_Reference'!E13,IF(S13&gt;='Grading_Reference'!B14,'Grading_Reference'!E14,IF(S13&gt;='Grading_Reference'!B15,'Grading_Reference'!E15,IF(S13&gt;='Grading_Reference'!B16,'Grading_Reference'!E16,"F")))))),IF(S13&gt;='Grading_Reference'!B2,'Grading_Reference'!E2,IF(S13&gt;='Grading_Reference'!B3,'Grading_Reference'!E3,IF(S13&gt;='Grading_Reference'!B4,'Grading_Reference'!E4,IF(S13&gt;='Grading_Reference'!B5,'Grading_Reference'!E5,IF(S13&gt;='Grading_Reference'!B6,'Grading_Reference'!E6,IF(S13&gt;='Grading_Reference'!B7,'Grading_Reference'!E7,IF(S13&gt;='Grading_Reference'!B8,'Grading_Reference'!E8,"F")))))))),IF(U13="ABSENT","Ab",IF(U13="FAIL","F",U13)))</f>
        <v>A</v>
      </c>
      <c r="AH13" s="9" t="n">
        <f>INDEX('Course_Config'!$F$2:$F$7,AU13)</f>
        <v>2</v>
      </c>
      <c r="AI13" s="9" t="str">
        <v>2026-27</v>
      </c>
      <c r="AJ13" s="9" t="str">
        <v>Oct 2026 TEST</v>
      </c>
      <c r="AK13" s="9" t="str">
        <v>I</v>
      </c>
      <c r="AL13" s="9" t="n">
        <f>IF(INDEX('Course_Config'!$H$2:$H$7,AU13)=1,COUNTIFS('Student_Marks'!$B$2:$B$49,A13,'Student_Marks'!$F$2:$F$49,C13,'Student_Marks'!$D$2:$D$49,AP13,'Student_Marks'!$E$2:$E$49,AK13,'Student_Marks'!$H$2:$H$49,AI13,'Student_Marks'!$I$2:$I$49,AJ13,'Student_Marks'!$K$2:$K$49,"&gt;=0",'Student_Marks'!$K$2:$K$49,"&lt;&gt;")+COUNTIFS('Student_Marks'!$B$2:$B$49,A13,'Student_Marks'!$F$2:$F$49,C13,'Student_Marks'!$D$2:$D$49,AP13,'Student_Marks'!$E$2:$E$49,AK13,'Student_Marks'!$H$2:$H$49,AI13,'Student_Marks'!$I$2:$I$49,AJ13,'Student_Marks'!$K$2:$K$49,"AB"),0)+IF(INDEX('Course_Config'!$I$2:$I$7,AU13)=1,COUNTIFS('Student_Marks'!$B$2:$B$49,A13,'Student_Marks'!$F$2:$F$49,C13,'Student_Marks'!$D$2:$D$49,AP13,'Student_Marks'!$E$2:$E$49,AK13,'Student_Marks'!$H$2:$H$49,AI13,'Student_Marks'!$I$2:$I$49,AJ13,'Student_Marks'!$L$2:$L$49,"&gt;=0",'Student_Marks'!$L$2:$L$49,"&lt;&gt;")+COUNTIFS('Student_Marks'!$B$2:$B$49,A13,'Student_Marks'!$F$2:$F$49,C13,'Student_Marks'!$D$2:$D$49,AP13,'Student_Marks'!$E$2:$E$49,AK13,'Student_Marks'!$H$2:$H$49,AI13,'Student_Marks'!$I$2:$I$49,AJ13,'Student_Marks'!$L$2:$L$49,"AB"),0)+IF(INDEX('Course_Config'!$J$2:$J$7,AU13)=1,COUNTIFS('Student_Marks'!$B$2:$B$49,A13,'Student_Marks'!$F$2:$F$49,C13,'Student_Marks'!$D$2:$D$49,AP13,'Student_Marks'!$E$2:$E$49,AK13,'Student_Marks'!$H$2:$H$49,AI13,'Student_Marks'!$I$2:$I$49,AJ13,'Student_Marks'!$M$2:$M$49,"&gt;=0",'Student_Marks'!$M$2:$M$49,"&lt;&gt;")+COUNTIFS('Student_Marks'!$B$2:$B$49,A13,'Student_Marks'!$F$2:$F$49,C13,'Student_Marks'!$D$2:$D$49,AP13,'Student_Marks'!$E$2:$E$49,AK13,'Student_Marks'!$H$2:$H$49,AI13,'Student_Marks'!$I$2:$I$49,AJ13,'Student_Marks'!$M$2:$M$49,"AB"),0)</f>
        <v>4</v>
      </c>
      <c r="AM13" s="9" t="n">
        <f>IF(INDEX('Course_Config'!$H$2:$H$7,AU13)=1,COUNTIFS('Student_Marks'!$B$2:$B$49,A13,'Student_Marks'!$F$2:$F$49,C13,'Student_Marks'!$D$2:$D$49,AP13,'Student_Marks'!$E$2:$E$49,AK13,'Student_Marks'!$H$2:$H$49,AI13,'Student_Marks'!$I$2:$I$49,AJ13,'Student_Marks'!$K$2:$K$49,"AB"),0)+IF(INDEX('Course_Config'!$I$2:$I$7,AU13)=1,COUNTIFS('Student_Marks'!$B$2:$B$49,A13,'Student_Marks'!$F$2:$F$49,C13,'Student_Marks'!$D$2:$D$49,AP13,'Student_Marks'!$E$2:$E$49,AK13,'Student_Marks'!$H$2:$H$49,AI13,'Student_Marks'!$I$2:$I$49,AJ13,'Student_Marks'!$L$2:$L$49,"AB"),0)+IF(INDEX('Course_Config'!$J$2:$J$7,AU13)=1,COUNTIFS('Student_Marks'!$B$2:$B$49,A13,'Student_Marks'!$F$2:$F$49,C13,'Student_Marks'!$D$2:$D$49,AP13,'Student_Marks'!$E$2:$E$49,AK13,'Student_Marks'!$H$2:$H$49,AI13,'Student_Marks'!$I$2:$I$49,AJ13,'Student_Marks'!$M$2:$M$49,"AB"),0)</f>
        <v>0</v>
      </c>
      <c r="AN13" s="9" t="n">
        <f>COUNTIFS('Student_Marks'!$B$2:$B$49,A13,'Student_Marks'!$F$2:$F$49,C13,'Student_Marks'!$D$2:$D$49,AP13,'Student_Marks'!$E$2:$E$49,AK13,'Student_Marks'!$H$2:$H$49,AI13,'Student_Marks'!$I$2:$I$49,AJ13,'Student_Marks'!$Q$2:$Q$49,"INVALID")</f>
        <v>0</v>
      </c>
      <c r="AO13" s="9" t="n">
        <f>IF(AND(N13&gt;0,ISNUMBER(K13)),IF(K13&lt;IF(INDEX('Course_Config'!$AH$2:$AH$7,AU13)=1,ROUNDUP(N13*INDEX('Course_Config'!$AC$2:$AC$7,AU13)/100,0),N13*INDEX('Course_Config'!$AC$2:$AC$7,AU13)/100),1,0),0)+IF(AND(O13&gt;0,ISNUMBER(L13)),IF(L13&lt;IF(INDEX('Course_Config'!$AH$2:$AH$7,AU13)=1,ROUNDUP(O13*INDEX('Course_Config'!$AD$2:$AD$7,AU13)/100,0),O13*INDEX('Course_Config'!$AD$2:$AD$7,AU13)/100),1,0),0)+IF(AND(P13&gt;0,ISNUMBER(M13)),IF(M13&lt;IF(INDEX('Course_Config'!$AH$2:$AH$7,AU13)=1,ROUNDUP(P13*INDEX('Course_Config'!$AE$2:$AE$7,AU13)/100,0),P13*INDEX('Course_Config'!$AE$2:$AE$7,AU13)/100),1,0),0)</f>
        <v>0</v>
      </c>
      <c r="AP13" s="9" t="str">
        <v>[TEST] B.Arch. Architecture</v>
      </c>
      <c r="AQ13" s="9" t="n">
        <f>IF(COUNTIFS('Student_Marks'!$B$2:$B$49,A13,'Student_Marks'!$F$2:$F$49,C13,'Student_Marks'!$D$2:$D$49,AP13,'Student_Marks'!$E$2:$E$49,AK13,'Student_Marks'!$H$2:$H$49,AI13,'Student_Marks'!$I$2:$I$49,AJ13,'Student_Marks'!$J$2:$J$49,"CA1")&gt;1,1,0)+IF(COUNTIFS('Student_Marks'!$B$2:$B$49,A13,'Student_Marks'!$F$2:$F$49,C13,'Student_Marks'!$D$2:$D$49,AP13,'Student_Marks'!$E$2:$E$49,AK13,'Student_Marks'!$H$2:$H$49,AI13,'Student_Marks'!$I$2:$I$49,AJ13,'Student_Marks'!$J$2:$J$49,"CA2")&gt;1,1,0)+IF(COUNTIFS('Student_Marks'!$B$2:$B$49,A13,'Student_Marks'!$F$2:$F$49,C13,'Student_Marks'!$D$2:$D$49,AP13,'Student_Marks'!$E$2:$E$49,AK13,'Student_Marks'!$H$2:$H$49,AI13,'Student_Marks'!$I$2:$I$49,AJ13,'Student_Marks'!$J$2:$J$49,"CA3")&gt;1,1,0)+IF(COUNTIFS('Student_Marks'!$B$2:$B$49,A13,'Student_Marks'!$F$2:$F$49,C13,'Student_Marks'!$D$2:$D$49,AP13,'Student_Marks'!$E$2:$E$49,AK13,'Student_Marks'!$H$2:$H$49,AI13,'Student_Marks'!$I$2:$I$49,AJ13,'Student_Marks'!$J$2:$J$49,"ESE")&gt;1,1,0)</f>
        <v>0</v>
      </c>
      <c r="AR13" s="9" t="n">
        <f>INDEX('Course_Config'!$AJ$2:$AJ$7,AU13)</f>
        <v>1</v>
      </c>
      <c r="AS13" s="9" t="str">
        <f>IF(J13="TG","ELIGIBLE","NOT_ELIGIBLE")</f>
        <v>ELIGIBLE</v>
      </c>
      <c r="AT13" s="9" t="str">
        <v>TEST-ARCH</v>
      </c>
      <c r="AU13" s="9" t="n">
        <f>SUMIFS('Course_Config'!$AK$2:$AK$7,'Course_Config'!$AA$2:$AA$7,AP13&amp;"|"&amp;C13&amp;"|"&amp;AK13)</f>
        <v>6</v>
      </c>
      <c r="AV13" s="9" t="n">
        <f>4*SUM(INDEX('Course_Config'!$H$2:$H$7,AU13),INDEX('Course_Config'!$I$2:$I$7,AU13),INDEX('Course_Config'!$J$2:$J$7,AU13))</f>
        <v>4</v>
      </c>
    </row>
  </sheetData>
  <sheetProtection sheet="1" objects="1" scenarios="1" selectLockedCells="0" selectUnlockedCells="0" autoFilter="0" sort="0"/>
  <conditionalFormatting sqref="U2:U13">
    <cfRule type="containsText" dxfId="0" priority="1" operator="containsText" text="TNG"/>
    <cfRule type="containsText" dxfId="1" priority="2" operator="containsText" text="PASS"/>
    <cfRule type="containsText" dxfId="2" priority="3" operator="containsText" text="PENDING"/>
    <cfRule type="containsText" dxfId="3" priority="4" operator="containsText" text="FAIL"/>
  </conditionalFormatting>
  <conditionalFormatting sqref="K2:M13">
    <cfRule type="expression" dxfId="4" priority="5">
      <formula>AND(ISNUMBER(K2),N2&gt;0,K2&lt;N2*INDEX(Course_Config!$AC$2:$AE$7,$AU2,COLUMN()-10)/100)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18" hidden="0" customWidth="1"/>
    <col min="9" max="9" width="18" hidden="0" customWidth="1"/>
    <col min="10" max="10" width="18" hidden="0" customWidth="1"/>
    <col min="11" max="11" width="18" hidden="0" customWidth="1"/>
    <col min="12" max="12" width="18" hidden="0" customWidth="1"/>
    <col min="13" max="13" width="18" hidden="0" customWidth="1"/>
    <col min="14" max="14" width="18" hidden="0" customWidth="1"/>
  </cols>
  <sheetData>
    <row r="1" ht="36" customHeight="1">
      <c r="A1" s="8" t="str">
        <v>PRN</v>
      </c>
      <c r="B1" s="8" t="str">
        <v>Semester</v>
      </c>
      <c r="C1" s="8" t="str">
        <v>Student_Name</v>
      </c>
      <c r="D1" s="8" t="str">
        <v>Total_Credit_Points</v>
      </c>
      <c r="E1" s="8" t="str">
        <v>Total_Credits</v>
      </c>
      <c r="F1" s="8" t="str">
        <v>SGPA</v>
      </c>
      <c r="G1" s="8" t="str">
        <v>Credits_Earned</v>
      </c>
      <c r="H1" s="8" t="str">
        <v>SGPA_With_Fail</v>
      </c>
      <c r="I1" s="8" t="str">
        <v>SGPA_Without_Fail</v>
      </c>
      <c r="J1" s="8" t="str">
        <v>Is_Provisional_SGPA</v>
      </c>
      <c r="K1" s="8" t="str">
        <v>SGPA_Calculation_Method</v>
      </c>
      <c r="L1" s="8" t="str">
        <v>Academic_Year</v>
      </c>
      <c r="M1" s="8" t="str">
        <v>Exam_Session</v>
      </c>
      <c r="N1" s="8" t="str">
        <v>Programme</v>
      </c>
    </row>
    <row r="2">
      <c r="A2" s="9" t="str">
        <v>TEST1001</v>
      </c>
      <c r="B2" s="9" t="str">
        <v>I</v>
      </c>
      <c r="C2" s="9" t="str">
        <v>Test Student 1-01 (PASS)</v>
      </c>
      <c r="D2" s="9" t="n">
        <f>SUMIFS('Results'!$W$2:$W$13,'Results'!$A$2:$A$13,A2,'Results'!$AK$2:$AK$13,B2,'Results'!$AI$2:$AI$13,L2,'Results'!$AJ$2:$AJ$13,M2,'Results'!$AP$2:$AP$13,N2)</f>
        <v>72</v>
      </c>
      <c r="E2" s="9" t="n">
        <f>SUMIFS('Results'!$AH$2:$AH$13,'Results'!$A$2:$A$13,A2,'Results'!$AK$2:$AK$13,B2,'Results'!$AI$2:$AI$13,L2,'Results'!$AJ$2:$AJ$13,M2,'Results'!$AP$2:$AP$13,N2)</f>
        <v>9</v>
      </c>
      <c r="F2" s="11" t="n">
        <f>IF(OR(E2=0,(COUNTIFS('Results'!$A$2:$A$13,A2,'Results'!$AK$2:$AK$13,B2,'Results'!$AI$2:$AI$13,L2,'Results'!$AJ$2:$AJ$13,M2,'Results'!$AP$2:$AP$13,N2,'Results'!$U$2:$U$13,"TNG")+COUNTIFS('Results'!$A$2:$A$13,A2,'Results'!$AK$2:$AK$13,B2,'Results'!$AI$2:$AI$13,L2,'Results'!$AJ$2:$AJ$13,M2,'Results'!$AP$2:$AP$13,N2,'Results'!$U$2:$U$13,"PENDING")+COUNTIFS('Results'!$A$2:$A$13,A2,'Results'!$AK$2:$AK$13,B2,'Results'!$AI$2:$AI$13,L2,'Results'!$AJ$2:$AJ$13,M2,'Results'!$AP$2:$AP$13,N2,'Results'!$U$2:$U$13,"WITHHELD"))&gt;0),"WITHHELD",D2/E2)</f>
        <v>8</v>
      </c>
      <c r="G2" s="11" t="n">
        <f>SUMIFS('Results'!$AH$2:$AH$13,'Results'!$A$2:$A$13,A2,'Results'!$AK$2:$AK$13,B2,'Results'!$AI$2:$AI$13,L2,'Results'!$AJ$2:$AJ$13,M2,'Results'!$AP$2:$AP$13,N2,'Results'!$U$2:$U$13,"PASS")</f>
        <v>9</v>
      </c>
      <c r="H2" s="11" t="n">
        <f>F2</f>
        <v>8</v>
      </c>
      <c r="I2" s="9" t="str">
        <f>"NOT_APPLICABLE"</f>
        <v>NOT_APPLICABLE</v>
      </c>
      <c r="J2" s="9" t="str">
        <v>NO</v>
      </c>
      <c r="K2" s="9" t="str">
        <v>credit_weighted</v>
      </c>
      <c r="L2" s="9" t="str">
        <v>2026-27</v>
      </c>
      <c r="M2" s="9" t="str">
        <v>Oct 2026 TEST</v>
      </c>
      <c r="N2" s="9" t="str">
        <v>[TEST] B.Tech. Construction Engineering &amp; Management</v>
      </c>
    </row>
    <row r="3">
      <c r="A3" s="9" t="str">
        <v>TEST1003</v>
      </c>
      <c r="B3" s="9" t="str">
        <v>I</v>
      </c>
      <c r="C3" s="9" t="str">
        <v>Test Student 1-03 (TNG)</v>
      </c>
      <c r="D3" s="9" t="n">
        <f>SUMIFS('Results'!$W$2:$W$13,'Results'!$A$2:$A$13,A3,'Results'!$AK$2:$AK$13,B3,'Results'!$AI$2:$AI$13,L3,'Results'!$AJ$2:$AJ$13,M3,'Results'!$AP$2:$AP$13,N3)</f>
        <v>0</v>
      </c>
      <c r="E3" s="9" t="n">
        <f>SUMIFS('Results'!$AH$2:$AH$13,'Results'!$A$2:$A$13,A3,'Results'!$AK$2:$AK$13,B3,'Results'!$AI$2:$AI$13,L3,'Results'!$AJ$2:$AJ$13,M3,'Results'!$AP$2:$AP$13,N3)</f>
        <v>9</v>
      </c>
      <c r="F3" s="11" t="str">
        <f>IF(OR(E3=0,(COUNTIFS('Results'!$A$2:$A$13,A3,'Results'!$AK$2:$AK$13,B3,'Results'!$AI$2:$AI$13,L3,'Results'!$AJ$2:$AJ$13,M3,'Results'!$AP$2:$AP$13,N3,'Results'!$U$2:$U$13,"TNG")+COUNTIFS('Results'!$A$2:$A$13,A3,'Results'!$AK$2:$AK$13,B3,'Results'!$AI$2:$AI$13,L3,'Results'!$AJ$2:$AJ$13,M3,'Results'!$AP$2:$AP$13,N3,'Results'!$U$2:$U$13,"PENDING")+COUNTIFS('Results'!$A$2:$A$13,A3,'Results'!$AK$2:$AK$13,B3,'Results'!$AI$2:$AI$13,L3,'Results'!$AJ$2:$AJ$13,M3,'Results'!$AP$2:$AP$13,N3,'Results'!$U$2:$U$13,"WITHHELD"))&gt;0),"WITHHELD",D3/E3)</f>
        <v>WITHHELD</v>
      </c>
      <c r="G3" s="11" t="n">
        <f>SUMIFS('Results'!$AH$2:$AH$13,'Results'!$A$2:$A$13,A3,'Results'!$AK$2:$AK$13,B3,'Results'!$AI$2:$AI$13,L3,'Results'!$AJ$2:$AJ$13,M3,'Results'!$AP$2:$AP$13,N3,'Results'!$U$2:$U$13,"PASS")</f>
        <v>0</v>
      </c>
      <c r="H3" s="11" t="str">
        <f>F3</f>
        <v>WITHHELD</v>
      </c>
      <c r="I3" s="9" t="str">
        <f>"NOT_APPLICABLE"</f>
        <v>NOT_APPLICABLE</v>
      </c>
      <c r="J3" s="9" t="str">
        <v>NO</v>
      </c>
      <c r="K3" s="9" t="str">
        <v>credit_weighted</v>
      </c>
      <c r="L3" s="9" t="str">
        <v>2026-27</v>
      </c>
      <c r="M3" s="9" t="str">
        <v>Oct 2026 TEST</v>
      </c>
      <c r="N3" s="9" t="str">
        <v>[TEST] B.Tech. Construction Engineering &amp; Management</v>
      </c>
    </row>
    <row r="4">
      <c r="A4" s="9" t="str">
        <v>TEST1005</v>
      </c>
      <c r="B4" s="9" t="str">
        <v>I</v>
      </c>
      <c r="C4" s="9" t="str">
        <v>Test Student 1-05 (PENDING)</v>
      </c>
      <c r="D4" s="9" t="n">
        <f>SUMIFS('Results'!$W$2:$W$13,'Results'!$A$2:$A$13,A4,'Results'!$AK$2:$AK$13,B4,'Results'!$AI$2:$AI$13,L4,'Results'!$AJ$2:$AJ$13,M4,'Results'!$AP$2:$AP$13,N4)</f>
        <v>0</v>
      </c>
      <c r="E4" s="9" t="n">
        <f>SUMIFS('Results'!$AH$2:$AH$13,'Results'!$A$2:$A$13,A4,'Results'!$AK$2:$AK$13,B4,'Results'!$AI$2:$AI$13,L4,'Results'!$AJ$2:$AJ$13,M4,'Results'!$AP$2:$AP$13,N4)</f>
        <v>9</v>
      </c>
      <c r="F4" s="11" t="str">
        <f>IF(OR(E4=0,(COUNTIFS('Results'!$A$2:$A$13,A4,'Results'!$AK$2:$AK$13,B4,'Results'!$AI$2:$AI$13,L4,'Results'!$AJ$2:$AJ$13,M4,'Results'!$AP$2:$AP$13,N4,'Results'!$U$2:$U$13,"TNG")+COUNTIFS('Results'!$A$2:$A$13,A4,'Results'!$AK$2:$AK$13,B4,'Results'!$AI$2:$AI$13,L4,'Results'!$AJ$2:$AJ$13,M4,'Results'!$AP$2:$AP$13,N4,'Results'!$U$2:$U$13,"PENDING")+COUNTIFS('Results'!$A$2:$A$13,A4,'Results'!$AK$2:$AK$13,B4,'Results'!$AI$2:$AI$13,L4,'Results'!$AJ$2:$AJ$13,M4,'Results'!$AP$2:$AP$13,N4,'Results'!$U$2:$U$13,"WITHHELD"))&gt;0),"WITHHELD",D4/E4)</f>
        <v>WITHHELD</v>
      </c>
      <c r="G4" s="11" t="n">
        <f>SUMIFS('Results'!$AH$2:$AH$13,'Results'!$A$2:$A$13,A4,'Results'!$AK$2:$AK$13,B4,'Results'!$AI$2:$AI$13,L4,'Results'!$AJ$2:$AJ$13,M4,'Results'!$AP$2:$AP$13,N4,'Results'!$U$2:$U$13,"PASS")</f>
        <v>0</v>
      </c>
      <c r="H4" s="11" t="str">
        <f>F4</f>
        <v>WITHHELD</v>
      </c>
      <c r="I4" s="9" t="str">
        <f>"NOT_APPLICABLE"</f>
        <v>NOT_APPLICABLE</v>
      </c>
      <c r="J4" s="9" t="str">
        <v>NO</v>
      </c>
      <c r="K4" s="9" t="str">
        <v>credit_weighted</v>
      </c>
      <c r="L4" s="9" t="str">
        <v>2026-27</v>
      </c>
      <c r="M4" s="9" t="str">
        <v>Oct 2026 TEST</v>
      </c>
      <c r="N4" s="9" t="str">
        <v>[TEST] B.Tech. Construction Engineering &amp; Management</v>
      </c>
    </row>
    <row r="5">
      <c r="A5" s="9" t="str">
        <v>TEST5001</v>
      </c>
      <c r="B5" s="9" t="str">
        <v>I</v>
      </c>
      <c r="C5" s="9" t="str">
        <v>Test Student 5-01 (PASS)</v>
      </c>
      <c r="D5" s="9" t="n">
        <f>SUMIFS('Results'!$W$2:$W$13,'Results'!$A$2:$A$13,A5,'Results'!$AK$2:$AK$13,B5,'Results'!$AI$2:$AI$13,L5,'Results'!$AJ$2:$AJ$13,M5,'Results'!$AP$2:$AP$13,N5)</f>
        <v>81</v>
      </c>
      <c r="E5" s="9" t="n">
        <f>SUMIFS('Results'!$AH$2:$AH$13,'Results'!$A$2:$A$13,A5,'Results'!$AK$2:$AK$13,B5,'Results'!$AI$2:$AI$13,L5,'Results'!$AJ$2:$AJ$13,M5,'Results'!$AP$2:$AP$13,N5)</f>
        <v>9</v>
      </c>
      <c r="F5" s="11" t="n">
        <f>IF(OR(E5=0,(COUNTIFS('Results'!$A$2:$A$13,A5,'Results'!$AK$2:$AK$13,B5,'Results'!$AI$2:$AI$13,L5,'Results'!$AJ$2:$AJ$13,M5,'Results'!$AP$2:$AP$13,N5,'Results'!$U$2:$U$13,"TNG")+COUNTIFS('Results'!$A$2:$A$13,A5,'Results'!$AK$2:$AK$13,B5,'Results'!$AI$2:$AI$13,L5,'Results'!$AJ$2:$AJ$13,M5,'Results'!$AP$2:$AP$13,N5,'Results'!$U$2:$U$13,"PENDING")+COUNTIFS('Results'!$A$2:$A$13,A5,'Results'!$AK$2:$AK$13,B5,'Results'!$AI$2:$AI$13,L5,'Results'!$AJ$2:$AJ$13,M5,'Results'!$AP$2:$AP$13,N5,'Results'!$U$2:$U$13,"WITHHELD"))&gt;0),"WITHHELD",D5/E5)</f>
        <v>9</v>
      </c>
      <c r="G5" s="11" t="n">
        <f>SUMIFS('Results'!$AH$2:$AH$13,'Results'!$A$2:$A$13,A5,'Results'!$AK$2:$AK$13,B5,'Results'!$AI$2:$AI$13,L5,'Results'!$AJ$2:$AJ$13,M5,'Results'!$AP$2:$AP$13,N5,'Results'!$U$2:$U$13,"PASS")</f>
        <v>9</v>
      </c>
      <c r="H5" s="11" t="n">
        <f>F5</f>
        <v>9</v>
      </c>
      <c r="I5" s="9" t="str">
        <f>"NOT_APPLICABLE"</f>
        <v>NOT_APPLICABLE</v>
      </c>
      <c r="J5" s="9" t="str">
        <v>NO</v>
      </c>
      <c r="K5" s="9" t="str">
        <v>credit_weighted</v>
      </c>
      <c r="L5" s="9" t="str">
        <v>2026-27</v>
      </c>
      <c r="M5" s="9" t="str">
        <v>Oct 2026 TEST</v>
      </c>
      <c r="N5" s="9" t="str">
        <v>[TEST] B.Arch. Architecture</v>
      </c>
    </row>
  </sheetData>
  <sheetProtection sheet="1" objects="1" scenarios="1" selectLockedCells="0" selectUnlockedCells="0" autoFilter="0" sort="0"/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18" hidden="0" customWidth="1"/>
    <col min="9" max="9" width="18" hidden="0" customWidth="1"/>
    <col min="10" max="10" width="18" hidden="0" customWidth="1"/>
  </cols>
  <sheetData>
    <row r="1" ht="36" customHeight="1">
      <c r="A1" s="4" t="str">
        <v>PRN</v>
      </c>
      <c r="B1" s="4" t="str">
        <v>PaperCode</v>
      </c>
      <c r="C1" s="4" t="str">
        <v>Subject_Name</v>
      </c>
      <c r="D1" s="4" t="str">
        <v>Internal_Status</v>
      </c>
      <c r="E1" s="4" t="str">
        <v>ESE_Theory_Status</v>
      </c>
      <c r="F1" s="4" t="str">
        <v>ESE_Practical_Status</v>
      </c>
      <c r="G1" s="4" t="str">
        <v>ESE_Skills_Status</v>
      </c>
      <c r="H1" s="4" t="str">
        <v>Authorization_Status</v>
      </c>
      <c r="I1" s="4" t="str">
        <v>Authorization_Date</v>
      </c>
      <c r="J1" s="4" t="str">
        <v>Authorized_By</v>
      </c>
    </row>
    <row r="2">
      <c r="A2" t="str">
        <v>TEST1001</v>
      </c>
      <c r="B2" t="str">
        <v>T101</v>
      </c>
      <c r="C2" t="str">
        <v>Integrated Foundation</v>
      </c>
      <c r="D2" t="str">
        <f>'Results'!J2</f>
        <v>TG</v>
      </c>
      <c r="E2" t="str">
        <f>IF('Results'!N2=0,"N/A",IF(ISNUMBER('Results'!K2),IF('Results'!K2&gt;='Results'!N2*INDEX('Course_Config'!$AC$2:$AC$7,'Results'!AU2)/100,"PASS","FAIL"),'Results'!K2))</f>
        <v>PASS</v>
      </c>
      <c r="F2" t="str">
        <f>IF('Results'!O2=0,"N/A",IF(ISNUMBER('Results'!L2),IF('Results'!L2&gt;='Results'!O2*INDEX('Course_Config'!$AD$2:$AD$7,'Results'!AU2)/100,"PASS","FAIL"),'Results'!L2))</f>
        <v>PASS</v>
      </c>
      <c r="G2" t="str">
        <f>IF('Results'!P2=0,"N/A",IF(ISNUMBER('Results'!M2),IF('Results'!M2&gt;='Results'!P2*INDEX('Course_Config'!$AE$2:$AE$7,'Results'!AU2)/100,"PASS","FAIL"),'Results'!M2))</f>
        <v>PASS</v>
      </c>
      <c r="H2" t="str">
        <f>IF(D2="TG","ELIGIBLE","NOT_AUTHORIZED")</f>
        <v>ELIGIBLE</v>
      </c>
      <c r="I2"/>
      <c r="J2" t="str">
        <v>TEST PREVIEW ONLY</v>
      </c>
    </row>
    <row r="3">
      <c r="A3" t="str">
        <v>TEST1001</v>
      </c>
      <c r="B3" t="str">
        <v>T102</v>
      </c>
      <c r="C3" t="str">
        <v>Applied Studio &amp; Skills</v>
      </c>
      <c r="D3" t="str">
        <f>'Results'!J3</f>
        <v>TG</v>
      </c>
      <c r="E3" t="str">
        <f>IF('Results'!N3=0,"N/A",IF(ISNUMBER('Results'!K3),IF('Results'!K3&gt;='Results'!N3*INDEX('Course_Config'!$AC$2:$AC$7,'Results'!AU3)/100,"PASS","FAIL"),'Results'!K3))</f>
        <v>N/A</v>
      </c>
      <c r="F3" t="str">
        <f>IF('Results'!O3=0,"N/A",IF(ISNUMBER('Results'!L3),IF('Results'!L3&gt;='Results'!O3*INDEX('Course_Config'!$AD$2:$AD$7,'Results'!AU3)/100,"PASS","FAIL"),'Results'!L3))</f>
        <v>PASS</v>
      </c>
      <c r="G3" t="str">
        <f>IF('Results'!P3=0,"N/A",IF(ISNUMBER('Results'!M3),IF('Results'!M3&gt;='Results'!P3*INDEX('Course_Config'!$AE$2:$AE$7,'Results'!AU3)/100,"PASS","FAIL"),'Results'!M3))</f>
        <v>PASS</v>
      </c>
      <c r="H3" t="str">
        <f>IF(D3="TG","ELIGIBLE","NOT_AUTHORIZED")</f>
        <v>ELIGIBLE</v>
      </c>
      <c r="I3"/>
      <c r="J3" t="str">
        <v>TEST PREVIEW ONLY</v>
      </c>
    </row>
    <row r="4">
      <c r="A4" t="str">
        <v>TEST1001</v>
      </c>
      <c r="B4" t="str">
        <v>T103</v>
      </c>
      <c r="C4" t="str">
        <v>Core Theory</v>
      </c>
      <c r="D4" t="str">
        <f>'Results'!J4</f>
        <v>TG</v>
      </c>
      <c r="E4" t="str">
        <f>IF('Results'!N4=0,"N/A",IF(ISNUMBER('Results'!K4),IF('Results'!K4&gt;='Results'!N4*INDEX('Course_Config'!$AC$2:$AC$7,'Results'!AU4)/100,"PASS","FAIL"),'Results'!K4))</f>
        <v>PASS</v>
      </c>
      <c r="F4" t="str">
        <f>IF('Results'!O4=0,"N/A",IF(ISNUMBER('Results'!L4),IF('Results'!L4&gt;='Results'!O4*INDEX('Course_Config'!$AD$2:$AD$7,'Results'!AU4)/100,"PASS","FAIL"),'Results'!L4))</f>
        <v>N/A</v>
      </c>
      <c r="G4" t="str">
        <f>IF('Results'!P4=0,"N/A",IF(ISNUMBER('Results'!M4),IF('Results'!M4&gt;='Results'!P4*INDEX('Course_Config'!$AE$2:$AE$7,'Results'!AU4)/100,"PASS","FAIL"),'Results'!M4))</f>
        <v>N/A</v>
      </c>
      <c r="H4" t="str">
        <f>IF(D4="TG","ELIGIBLE","NOT_AUTHORIZED")</f>
        <v>ELIGIBLE</v>
      </c>
      <c r="I4"/>
      <c r="J4" t="str">
        <v>TEST PREVIEW ONLY</v>
      </c>
    </row>
    <row r="5">
      <c r="A5" t="str">
        <v>TEST1003</v>
      </c>
      <c r="B5" t="str">
        <v>T101</v>
      </c>
      <c r="C5" t="str">
        <v>Integrated Foundation</v>
      </c>
      <c r="D5" t="str">
        <f>'Results'!J5</f>
        <v>TNG</v>
      </c>
      <c r="E5" t="str">
        <f>IF('Results'!N5=0,"N/A",IF(ISNUMBER('Results'!K5),IF('Results'!K5&gt;='Results'!N5*INDEX('Course_Config'!$AC$2:$AC$7,'Results'!AU5)/100,"PASS","FAIL"),'Results'!K5))</f>
        <v>PENDING</v>
      </c>
      <c r="F5" t="str">
        <f>IF('Results'!O5=0,"N/A",IF(ISNUMBER('Results'!L5),IF('Results'!L5&gt;='Results'!O5*INDEX('Course_Config'!$AD$2:$AD$7,'Results'!AU5)/100,"PASS","FAIL"),'Results'!L5))</f>
        <v>PENDING</v>
      </c>
      <c r="G5" t="str">
        <f>IF('Results'!P5=0,"N/A",IF(ISNUMBER('Results'!M5),IF('Results'!M5&gt;='Results'!P5*INDEX('Course_Config'!$AE$2:$AE$7,'Results'!AU5)/100,"PASS","FAIL"),'Results'!M5))</f>
        <v>PENDING</v>
      </c>
      <c r="H5" t="str">
        <f>IF(D5="TG","ELIGIBLE","NOT_AUTHORIZED")</f>
        <v>NOT_AUTHORIZED</v>
      </c>
      <c r="I5"/>
      <c r="J5" t="str">
        <v>TEST PREVIEW ONLY</v>
      </c>
    </row>
    <row r="6">
      <c r="A6" t="str">
        <v>TEST1003</v>
      </c>
      <c r="B6" t="str">
        <v>T102</v>
      </c>
      <c r="C6" t="str">
        <v>Applied Studio &amp; Skills</v>
      </c>
      <c r="D6" t="str">
        <f>'Results'!J6</f>
        <v>TNG</v>
      </c>
      <c r="E6" t="str">
        <f>IF('Results'!N6=0,"N/A",IF(ISNUMBER('Results'!K6),IF('Results'!K6&gt;='Results'!N6*INDEX('Course_Config'!$AC$2:$AC$7,'Results'!AU6)/100,"PASS","FAIL"),'Results'!K6))</f>
        <v>N/A</v>
      </c>
      <c r="F6" t="str">
        <f>IF('Results'!O6=0,"N/A",IF(ISNUMBER('Results'!L6),IF('Results'!L6&gt;='Results'!O6*INDEX('Course_Config'!$AD$2:$AD$7,'Results'!AU6)/100,"PASS","FAIL"),'Results'!L6))</f>
        <v>PENDING</v>
      </c>
      <c r="G6" t="str">
        <f>IF('Results'!P6=0,"N/A",IF(ISNUMBER('Results'!M6),IF('Results'!M6&gt;='Results'!P6*INDEX('Course_Config'!$AE$2:$AE$7,'Results'!AU6)/100,"PASS","FAIL"),'Results'!M6))</f>
        <v>PENDING</v>
      </c>
      <c r="H6" t="str">
        <f>IF(D6="TG","ELIGIBLE","NOT_AUTHORIZED")</f>
        <v>NOT_AUTHORIZED</v>
      </c>
      <c r="I6"/>
      <c r="J6" t="str">
        <v>TEST PREVIEW ONLY</v>
      </c>
    </row>
    <row r="7">
      <c r="A7" t="str">
        <v>TEST1003</v>
      </c>
      <c r="B7" t="str">
        <v>T103</v>
      </c>
      <c r="C7" t="str">
        <v>Core Theory</v>
      </c>
      <c r="D7" t="str">
        <f>'Results'!J7</f>
        <v>TNG</v>
      </c>
      <c r="E7" t="str">
        <f>IF('Results'!N7=0,"N/A",IF(ISNUMBER('Results'!K7),IF('Results'!K7&gt;='Results'!N7*INDEX('Course_Config'!$AC$2:$AC$7,'Results'!AU7)/100,"PASS","FAIL"),'Results'!K7))</f>
        <v>PENDING</v>
      </c>
      <c r="F7" t="str">
        <f>IF('Results'!O7=0,"N/A",IF(ISNUMBER('Results'!L7),IF('Results'!L7&gt;='Results'!O7*INDEX('Course_Config'!$AD$2:$AD$7,'Results'!AU7)/100,"PASS","FAIL"),'Results'!L7))</f>
        <v>N/A</v>
      </c>
      <c r="G7" t="str">
        <f>IF('Results'!P7=0,"N/A",IF(ISNUMBER('Results'!M7),IF('Results'!M7&gt;='Results'!P7*INDEX('Course_Config'!$AE$2:$AE$7,'Results'!AU7)/100,"PASS","FAIL"),'Results'!M7))</f>
        <v>N/A</v>
      </c>
      <c r="H7" t="str">
        <f>IF(D7="TG","ELIGIBLE","NOT_AUTHORIZED")</f>
        <v>NOT_AUTHORIZED</v>
      </c>
      <c r="I7"/>
      <c r="J7" t="str">
        <v>TEST PREVIEW ONLY</v>
      </c>
    </row>
    <row r="8">
      <c r="A8" t="str">
        <v>TEST1005</v>
      </c>
      <c r="B8" t="str">
        <v>T101</v>
      </c>
      <c r="C8" t="str">
        <v>Integrated Foundation</v>
      </c>
      <c r="D8" t="str">
        <f>'Results'!J8</f>
        <v>PENDING</v>
      </c>
      <c r="E8" t="str">
        <f>IF('Results'!N8=0,"N/A",IF(ISNUMBER('Results'!K8),IF('Results'!K8&gt;='Results'!N8*INDEX('Course_Config'!$AC$2:$AC$7,'Results'!AU8)/100,"PASS","FAIL"),'Results'!K8))</f>
        <v>PENDING</v>
      </c>
      <c r="F8" t="str">
        <f>IF('Results'!O8=0,"N/A",IF(ISNUMBER('Results'!L8),IF('Results'!L8&gt;='Results'!O8*INDEX('Course_Config'!$AD$2:$AD$7,'Results'!AU8)/100,"PASS","FAIL"),'Results'!L8))</f>
        <v>PENDING</v>
      </c>
      <c r="G8" t="str">
        <f>IF('Results'!P8=0,"N/A",IF(ISNUMBER('Results'!M8),IF('Results'!M8&gt;='Results'!P8*INDEX('Course_Config'!$AE$2:$AE$7,'Results'!AU8)/100,"PASS","FAIL"),'Results'!M8))</f>
        <v>PENDING</v>
      </c>
      <c r="H8" t="str">
        <f>IF(D8="TG","ELIGIBLE","NOT_AUTHORIZED")</f>
        <v>NOT_AUTHORIZED</v>
      </c>
      <c r="I8"/>
      <c r="J8" t="str">
        <v>TEST PREVIEW ONLY</v>
      </c>
    </row>
    <row r="9">
      <c r="A9" t="str">
        <v>TEST1005</v>
      </c>
      <c r="B9" t="str">
        <v>T102</v>
      </c>
      <c r="C9" t="str">
        <v>Applied Studio &amp; Skills</v>
      </c>
      <c r="D9" t="str">
        <f>'Results'!J9</f>
        <v>PENDING</v>
      </c>
      <c r="E9" t="str">
        <f>IF('Results'!N9=0,"N/A",IF(ISNUMBER('Results'!K9),IF('Results'!K9&gt;='Results'!N9*INDEX('Course_Config'!$AC$2:$AC$7,'Results'!AU9)/100,"PASS","FAIL"),'Results'!K9))</f>
        <v>N/A</v>
      </c>
      <c r="F9" t="str">
        <f>IF('Results'!O9=0,"N/A",IF(ISNUMBER('Results'!L9),IF('Results'!L9&gt;='Results'!O9*INDEX('Course_Config'!$AD$2:$AD$7,'Results'!AU9)/100,"PASS","FAIL"),'Results'!L9))</f>
        <v>PENDING</v>
      </c>
      <c r="G9" t="str">
        <f>IF('Results'!P9=0,"N/A",IF(ISNUMBER('Results'!M9),IF('Results'!M9&gt;='Results'!P9*INDEX('Course_Config'!$AE$2:$AE$7,'Results'!AU9)/100,"PASS","FAIL"),'Results'!M9))</f>
        <v>PENDING</v>
      </c>
      <c r="H9" t="str">
        <f>IF(D9="TG","ELIGIBLE","NOT_AUTHORIZED")</f>
        <v>NOT_AUTHORIZED</v>
      </c>
      <c r="I9"/>
      <c r="J9" t="str">
        <v>TEST PREVIEW ONLY</v>
      </c>
    </row>
    <row r="10">
      <c r="A10" t="str">
        <v>TEST1005</v>
      </c>
      <c r="B10" t="str">
        <v>T103</v>
      </c>
      <c r="C10" t="str">
        <v>Core Theory</v>
      </c>
      <c r="D10" t="str">
        <f>'Results'!J10</f>
        <v>PENDING</v>
      </c>
      <c r="E10" t="str">
        <f>IF('Results'!N10=0,"N/A",IF(ISNUMBER('Results'!K10),IF('Results'!K10&gt;='Results'!N10*INDEX('Course_Config'!$AC$2:$AC$7,'Results'!AU10)/100,"PASS","FAIL"),'Results'!K10))</f>
        <v>PENDING</v>
      </c>
      <c r="F10" t="str">
        <f>IF('Results'!O10=0,"N/A",IF(ISNUMBER('Results'!L10),IF('Results'!L10&gt;='Results'!O10*INDEX('Course_Config'!$AD$2:$AD$7,'Results'!AU10)/100,"PASS","FAIL"),'Results'!L10))</f>
        <v>N/A</v>
      </c>
      <c r="G10" t="str">
        <f>IF('Results'!P10=0,"N/A",IF(ISNUMBER('Results'!M10),IF('Results'!M10&gt;='Results'!P10*INDEX('Course_Config'!$AE$2:$AE$7,'Results'!AU10)/100,"PASS","FAIL"),'Results'!M10))</f>
        <v>N/A</v>
      </c>
      <c r="H10" t="str">
        <f>IF(D10="TG","ELIGIBLE","NOT_AUTHORIZED")</f>
        <v>NOT_AUTHORIZED</v>
      </c>
      <c r="I10"/>
      <c r="J10" t="str">
        <v>TEST PREVIEW ONLY</v>
      </c>
    </row>
    <row r="11">
      <c r="A11" t="str">
        <v>TEST5001</v>
      </c>
      <c r="B11" t="str">
        <v>T501</v>
      </c>
      <c r="C11" t="str">
        <v>Integrated Foundation</v>
      </c>
      <c r="D11" t="str">
        <f>'Results'!J11</f>
        <v>TG</v>
      </c>
      <c r="E11" t="str">
        <f>IF('Results'!N11=0,"N/A",IF(ISNUMBER('Results'!K11),IF('Results'!K11&gt;='Results'!N11*INDEX('Course_Config'!$AC$2:$AC$7,'Results'!AU11)/100,"PASS","FAIL"),'Results'!K11))</f>
        <v>PASS</v>
      </c>
      <c r="F11" t="str">
        <f>IF('Results'!O11=0,"N/A",IF(ISNUMBER('Results'!L11),IF('Results'!L11&gt;='Results'!O11*INDEX('Course_Config'!$AD$2:$AD$7,'Results'!AU11)/100,"PASS","FAIL"),'Results'!L11))</f>
        <v>PASS</v>
      </c>
      <c r="G11" t="str">
        <f>IF('Results'!P11=0,"N/A",IF(ISNUMBER('Results'!M11),IF('Results'!M11&gt;='Results'!P11*INDEX('Course_Config'!$AE$2:$AE$7,'Results'!AU11)/100,"PASS","FAIL"),'Results'!M11))</f>
        <v>PASS</v>
      </c>
      <c r="H11" t="str">
        <f>IF(D11="TG","ELIGIBLE","NOT_AUTHORIZED")</f>
        <v>ELIGIBLE</v>
      </c>
      <c r="I11"/>
      <c r="J11" t="str">
        <v>TEST PREVIEW ONLY</v>
      </c>
    </row>
    <row r="12">
      <c r="A12" t="str">
        <v>TEST5001</v>
      </c>
      <c r="B12" t="str">
        <v>T502</v>
      </c>
      <c r="C12" t="str">
        <v>Applied Studio &amp; Skills</v>
      </c>
      <c r="D12" t="str">
        <f>'Results'!J12</f>
        <v>TG</v>
      </c>
      <c r="E12" t="str">
        <f>IF('Results'!N12=0,"N/A",IF(ISNUMBER('Results'!K12),IF('Results'!K12&gt;='Results'!N12*INDEX('Course_Config'!$AC$2:$AC$7,'Results'!AU12)/100,"PASS","FAIL"),'Results'!K12))</f>
        <v>N/A</v>
      </c>
      <c r="F12" t="str">
        <f>IF('Results'!O12=0,"N/A",IF(ISNUMBER('Results'!L12),IF('Results'!L12&gt;='Results'!O12*INDEX('Course_Config'!$AD$2:$AD$7,'Results'!AU12)/100,"PASS","FAIL"),'Results'!L12))</f>
        <v>PASS</v>
      </c>
      <c r="G12" t="str">
        <f>IF('Results'!P12=0,"N/A",IF(ISNUMBER('Results'!M12),IF('Results'!M12&gt;='Results'!P12*INDEX('Course_Config'!$AE$2:$AE$7,'Results'!AU12)/100,"PASS","FAIL"),'Results'!M12))</f>
        <v>PASS</v>
      </c>
      <c r="H12" t="str">
        <f>IF(D12="TG","ELIGIBLE","NOT_AUTHORIZED")</f>
        <v>ELIGIBLE</v>
      </c>
      <c r="I12"/>
      <c r="J12" t="str">
        <v>TEST PREVIEW ONLY</v>
      </c>
    </row>
    <row r="13">
      <c r="A13" t="str">
        <v>TEST5001</v>
      </c>
      <c r="B13" t="str">
        <v>T503</v>
      </c>
      <c r="C13" t="str">
        <v>Core Theory</v>
      </c>
      <c r="D13" t="str">
        <f>'Results'!J13</f>
        <v>TG</v>
      </c>
      <c r="E13" t="str">
        <f>IF('Results'!N13=0,"N/A",IF(ISNUMBER('Results'!K13),IF('Results'!K13&gt;='Results'!N13*INDEX('Course_Config'!$AC$2:$AC$7,'Results'!AU13)/100,"PASS","FAIL"),'Results'!K13))</f>
        <v>PASS</v>
      </c>
      <c r="F13" t="str">
        <f>IF('Results'!O13=0,"N/A",IF(ISNUMBER('Results'!L13),IF('Results'!L13&gt;='Results'!O13*INDEX('Course_Config'!$AD$2:$AD$7,'Results'!AU13)/100,"PASS","FAIL"),'Results'!L13))</f>
        <v>N/A</v>
      </c>
      <c r="G13" t="str">
        <f>IF('Results'!P13=0,"N/A",IF(ISNUMBER('Results'!M13),IF('Results'!M13&gt;='Results'!P13*INDEX('Course_Config'!$AE$2:$AE$7,'Results'!AU13)/100,"PASS","FAIL"),'Results'!M13))</f>
        <v>N/A</v>
      </c>
      <c r="H13" t="str">
        <f>IF(D13="TG","ELIGIBLE","NOT_AUTHORIZED")</f>
        <v>ELIGIBLE</v>
      </c>
      <c r="I13"/>
      <c r="J13" t="str">
        <v>TEST PREVIEW ONLY</v>
      </c>
    </row>
  </sheetData>
  <sheetProtection sheet="1" objects="1" scenarios="1" selectLockedCells="0" selectUnlockedCells="0" autoFilter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cols>
    <col min="1" max="1" width="20.83203125" customWidth="1"/>
    <col min="2" max="2" width="15.83203125" customWidth="1"/>
    <col min="3" max="3" width="15.83203125" customWidth="1"/>
    <col min="4" max="4" width="15.83203125" customWidth="1"/>
    <col min="5" max="5" width="10.83203125" customWidth="1"/>
    <col min="6" max="6" width="10.83203125" customWidth="1"/>
    <col min="7" max="7" width="15.83203125" customWidth="1"/>
    <col min="8" max="8" width="10.83203125" customWidth="1"/>
    <col min="9" max="9" width="10.83203125" customWidth="1"/>
    <col min="10" max="10" width="10.83203125" customWidth="1"/>
    <col min="11" max="11" width="10.83203125" customWidth="1"/>
  </cols>
  <sheetData>
    <row r="1">
      <c r="A1" t="str">
        <v>Programme_Type</v>
      </c>
      <c r="B1" t="str">
        <v>Marks_Percentage_Min</v>
      </c>
      <c r="C1" t="str">
        <v>Marks_Percentage_Max</v>
      </c>
      <c r="D1" t="str">
        <v>Grade_Point</v>
      </c>
      <c r="E1" t="str">
        <v>Grade_Label</v>
      </c>
      <c r="F1" t="str">
        <v>Remarks</v>
      </c>
      <c r="G1" t="str">
        <v>Is_Distinction</v>
      </c>
      <c r="H1" t="str">
        <v>Is_First_Class</v>
      </c>
      <c r="I1" t="str">
        <v>Is_Second_Class</v>
      </c>
      <c r="J1" t="str">
        <v>Eligibility_For_Honors</v>
      </c>
      <c r="L1" t="str">
        <v>Policy interpretation</v>
      </c>
    </row>
    <row r="2">
      <c r="A2" t="str" s="12">
        <v>Non-Architecture</v>
      </c>
      <c r="B2" s="12">
        <v>91</v>
      </c>
      <c r="C2" s="12">
        <v>100</v>
      </c>
      <c r="D2" s="12">
        <v>10</v>
      </c>
      <c r="E2" t="str" s="12">
        <v>O</v>
      </c>
      <c r="F2" t="str" s="12">
        <v>Outstanding</v>
      </c>
      <c r="G2" t="str" s="12">
        <v>TRUE</v>
      </c>
      <c r="H2" t="str" s="12">
        <v>TRUE</v>
      </c>
      <c r="I2" t="str" s="12">
        <v>TRUE</v>
      </c>
      <c r="J2" t="str" s="12">
        <v>TRUE</v>
      </c>
      <c r="L2" t="str" s="12">
        <v>Use lower-inclusive bounds; next minimum is exclusive.</v>
      </c>
    </row>
    <row r="3">
      <c r="A3" t="str" s="12">
        <v>Non-Architecture</v>
      </c>
      <c r="B3" s="12">
        <v>81</v>
      </c>
      <c r="C3" s="12">
        <v>90</v>
      </c>
      <c r="D3" s="12">
        <v>9</v>
      </c>
      <c r="E3" t="str" s="12">
        <v>A+</v>
      </c>
      <c r="F3" t="str" s="12">
        <v>Excellent</v>
      </c>
      <c r="G3" t="str" s="12">
        <v>TRUE</v>
      </c>
      <c r="H3" t="str" s="12">
        <v>TRUE</v>
      </c>
      <c r="I3" t="str" s="12">
        <v>TRUE</v>
      </c>
      <c r="J3" t="str" s="12">
        <v>TRUE</v>
      </c>
      <c r="L3" t="str" s="12">
        <v>Architecture E: 45 to below 50. Approval needed for live use.</v>
      </c>
    </row>
    <row r="4">
      <c r="A4" t="str" s="12">
        <v>Non-Architecture</v>
      </c>
      <c r="B4" s="12">
        <v>71</v>
      </c>
      <c r="C4" s="12">
        <v>80</v>
      </c>
      <c r="D4" s="12">
        <v>8</v>
      </c>
      <c r="E4" t="str" s="12">
        <v>A</v>
      </c>
      <c r="F4" t="str" s="12">
        <v>Very Good</v>
      </c>
      <c r="G4" t="str" s="12">
        <v>TRUE</v>
      </c>
      <c r="H4" t="str" s="12">
        <v>TRUE</v>
      </c>
      <c r="I4" t="str" s="12">
        <v>TRUE</v>
      </c>
      <c r="J4" t="str" s="12">
        <v>TRUE</v>
      </c>
      <c r="L4" t="str" s="12">
        <v>Test schemes only; final failure overrides aggregate grade.</v>
      </c>
    </row>
    <row r="5">
      <c r="A5" t="str" s="12">
        <v>Non-Architecture</v>
      </c>
      <c r="B5" s="12">
        <v>61</v>
      </c>
      <c r="C5" s="12">
        <v>70</v>
      </c>
      <c r="D5" s="12">
        <v>7</v>
      </c>
      <c r="E5" t="str" s="12">
        <v>B+</v>
      </c>
      <c r="F5" t="str" s="12">
        <v>Good</v>
      </c>
      <c r="G5" t="str" s="12">
        <v>FALSE</v>
      </c>
      <c r="H5" t="str" s="12">
        <v>TRUE</v>
      </c>
      <c r="I5" t="str" s="12">
        <v>TRUE</v>
      </c>
      <c r="J5" t="str" s="12">
        <v>FALSE</v>
      </c>
    </row>
    <row r="6">
      <c r="A6" t="str" s="12">
        <v>Non-Architecture</v>
      </c>
      <c r="B6" s="12">
        <v>51</v>
      </c>
      <c r="C6" s="12">
        <v>60</v>
      </c>
      <c r="D6" s="12">
        <v>6</v>
      </c>
      <c r="E6" t="str" s="12">
        <v>B</v>
      </c>
      <c r="F6" t="str" s="12">
        <v>Above Average</v>
      </c>
      <c r="G6" t="str" s="12">
        <v>FALSE</v>
      </c>
      <c r="H6" t="str" s="12">
        <v>FALSE</v>
      </c>
      <c r="I6" t="str" s="12">
        <v>TRUE</v>
      </c>
      <c r="J6" t="str" s="12">
        <v>FALSE</v>
      </c>
    </row>
    <row r="7">
      <c r="A7" t="str" s="12">
        <v>Non-Architecture</v>
      </c>
      <c r="B7" s="12">
        <v>41</v>
      </c>
      <c r="C7" s="12">
        <v>50</v>
      </c>
      <c r="D7" s="12">
        <v>5</v>
      </c>
      <c r="E7" t="str" s="12">
        <v>C</v>
      </c>
      <c r="F7" t="str" s="12">
        <v>Average</v>
      </c>
      <c r="G7" t="str" s="12">
        <v>FALSE</v>
      </c>
      <c r="H7" t="str" s="12">
        <v>FALSE</v>
      </c>
      <c r="I7" t="str" s="12">
        <v>TRUE</v>
      </c>
      <c r="J7" t="str" s="12">
        <v>FALSE</v>
      </c>
    </row>
    <row r="8">
      <c r="A8" t="str" s="12">
        <v>Non-Architecture</v>
      </c>
      <c r="B8" s="12">
        <v>40</v>
      </c>
      <c r="C8" s="12">
        <v>40</v>
      </c>
      <c r="D8" s="12">
        <v>4</v>
      </c>
      <c r="E8" t="str" s="12">
        <v>P</v>
      </c>
      <c r="F8" t="str" s="12">
        <v>Pass</v>
      </c>
      <c r="G8" t="str" s="12">
        <v>FALSE</v>
      </c>
      <c r="H8" t="str" s="12">
        <v>FALSE</v>
      </c>
      <c r="I8" t="str" s="12">
        <v>FALSE</v>
      </c>
      <c r="J8" t="str" s="12">
        <v>FALSE</v>
      </c>
    </row>
    <row r="9">
      <c r="A9" t="str" s="12">
        <v>Non-Architecture</v>
      </c>
      <c r="B9" s="12">
        <v>0</v>
      </c>
      <c r="C9" s="12">
        <v>39</v>
      </c>
      <c r="D9" s="12">
        <v>0</v>
      </c>
      <c r="E9" t="str" s="12">
        <v>F</v>
      </c>
      <c r="F9" t="str" s="12">
        <v>Fail</v>
      </c>
      <c r="G9" t="str" s="12">
        <v>FALSE</v>
      </c>
      <c r="H9" t="str" s="12">
        <v>FALSE</v>
      </c>
      <c r="I9" t="str" s="12">
        <v>FALSE</v>
      </c>
      <c r="J9" t="str" s="12">
        <v>FALSE</v>
      </c>
    </row>
    <row r="10">
      <c r="A10" t="str" s="12">
        <v>Non-Architecture</v>
      </c>
      <c r="B10" s="12">
        <v>-1</v>
      </c>
      <c r="C10" s="12">
        <v>-1</v>
      </c>
      <c r="D10" s="12">
        <v>0</v>
      </c>
      <c r="E10" t="str" s="12">
        <v>Ab</v>
      </c>
      <c r="F10" t="str" s="12">
        <v>Absent</v>
      </c>
      <c r="G10" t="str" s="12">
        <v>FALSE</v>
      </c>
      <c r="H10" t="str" s="12">
        <v>FALSE</v>
      </c>
      <c r="I10" t="str" s="12">
        <v>FALSE</v>
      </c>
      <c r="J10" t="str" s="12">
        <v>FALSE</v>
      </c>
    </row>
    <row r="11">
      <c r="A11" t="str" s="12">
        <v>Architecture</v>
      </c>
      <c r="B11" s="12">
        <v>90</v>
      </c>
      <c r="C11" s="12">
        <v>100</v>
      </c>
      <c r="D11" s="12">
        <v>10</v>
      </c>
      <c r="E11" t="str" s="12">
        <v>O</v>
      </c>
      <c r="F11" t="str" s="12">
        <v>Outstanding</v>
      </c>
      <c r="G11" t="str" s="12">
        <v>TRUE</v>
      </c>
      <c r="H11" t="str" s="12">
        <v>TRUE</v>
      </c>
      <c r="I11" t="str" s="12">
        <v>TRUE</v>
      </c>
      <c r="J11" t="str" s="12">
        <v>TRUE</v>
      </c>
    </row>
    <row r="12">
      <c r="A12" t="str" s="12">
        <v>Architecture</v>
      </c>
      <c r="B12" s="12">
        <v>80</v>
      </c>
      <c r="C12" s="12">
        <v>89</v>
      </c>
      <c r="D12" s="12">
        <v>9</v>
      </c>
      <c r="E12" t="str" s="12">
        <v>A</v>
      </c>
      <c r="F12" t="str" s="12">
        <v>Excellent</v>
      </c>
      <c r="G12" t="str" s="12">
        <v>TRUE</v>
      </c>
      <c r="H12" t="str" s="12">
        <v>TRUE</v>
      </c>
      <c r="I12" t="str" s="12">
        <v>TRUE</v>
      </c>
      <c r="J12" t="str" s="12">
        <v>TRUE</v>
      </c>
    </row>
    <row r="13">
      <c r="A13" t="str" s="12">
        <v>Architecture</v>
      </c>
      <c r="B13" s="12">
        <v>70</v>
      </c>
      <c r="C13" s="12">
        <v>79</v>
      </c>
      <c r="D13" s="12">
        <v>8</v>
      </c>
      <c r="E13" t="str" s="12">
        <v>B</v>
      </c>
      <c r="F13" t="str" s="12">
        <v>Very Good</v>
      </c>
      <c r="G13" t="str" s="12">
        <v>TRUE</v>
      </c>
      <c r="H13" t="str" s="12">
        <v>TRUE</v>
      </c>
      <c r="I13" t="str" s="12">
        <v>TRUE</v>
      </c>
      <c r="J13" t="str" s="12">
        <v>TRUE</v>
      </c>
    </row>
    <row r="14">
      <c r="A14" t="str" s="12">
        <v>Architecture</v>
      </c>
      <c r="B14" s="12">
        <v>60</v>
      </c>
      <c r="C14" s="12">
        <v>69</v>
      </c>
      <c r="D14" s="12">
        <v>7</v>
      </c>
      <c r="E14" t="str" s="12">
        <v>C</v>
      </c>
      <c r="F14" t="str" s="12">
        <v>Good</v>
      </c>
      <c r="G14" t="str" s="12">
        <v>FALSE</v>
      </c>
      <c r="H14" t="str" s="12">
        <v>TRUE</v>
      </c>
      <c r="I14" t="str" s="12">
        <v>TRUE</v>
      </c>
      <c r="J14" t="str" s="12">
        <v>FALSE</v>
      </c>
    </row>
    <row r="15">
      <c r="A15" t="str" s="12">
        <v>Architecture</v>
      </c>
      <c r="B15" s="12">
        <v>50</v>
      </c>
      <c r="C15" s="12">
        <v>59</v>
      </c>
      <c r="D15" s="12">
        <v>6</v>
      </c>
      <c r="E15" t="str" s="12">
        <v>D</v>
      </c>
      <c r="F15" t="str" s="12">
        <v>Above Average</v>
      </c>
      <c r="G15" t="str" s="12">
        <v>FALSE</v>
      </c>
      <c r="H15" t="str" s="12">
        <v>FALSE</v>
      </c>
      <c r="I15" t="str" s="12">
        <v>TRUE</v>
      </c>
      <c r="J15" t="str" s="12">
        <v>FALSE</v>
      </c>
    </row>
    <row r="16">
      <c r="A16" t="str" s="12">
        <v>Architecture</v>
      </c>
      <c r="B16" s="12">
        <v>45</v>
      </c>
      <c r="C16" s="12">
        <v>49</v>
      </c>
      <c r="D16" s="12">
        <v>5</v>
      </c>
      <c r="E16" t="str" s="12">
        <v>E</v>
      </c>
      <c r="F16" t="str" s="12">
        <v>Average</v>
      </c>
      <c r="G16" t="str" s="12">
        <v>FALSE</v>
      </c>
      <c r="H16" t="str" s="12">
        <v>FALSE</v>
      </c>
      <c r="I16" t="str" s="12">
        <v>FALSE</v>
      </c>
      <c r="J16" t="str" s="12">
        <v>FALSE</v>
      </c>
    </row>
    <row r="17">
      <c r="A17" t="str" s="12">
        <v>Architecture</v>
      </c>
      <c r="B17" s="12">
        <v>0</v>
      </c>
      <c r="C17" s="12">
        <v>44</v>
      </c>
      <c r="D17" s="12">
        <v>0</v>
      </c>
      <c r="E17" t="str" s="12">
        <v>F</v>
      </c>
      <c r="F17" t="str" s="12">
        <v>Fail</v>
      </c>
      <c r="G17" t="str" s="12">
        <v>FALSE</v>
      </c>
      <c r="H17" t="str" s="12">
        <v>FALSE</v>
      </c>
      <c r="I17" t="str" s="12">
        <v>FALSE</v>
      </c>
      <c r="J17" t="str" s="12">
        <v>FALSE</v>
      </c>
    </row>
    <row r="18">
      <c r="A18" t="str" s="12">
        <v>Architecture</v>
      </c>
      <c r="B18" s="12">
        <v>-1</v>
      </c>
      <c r="C18" s="12">
        <v>-1</v>
      </c>
      <c r="D18" s="12">
        <v>0</v>
      </c>
      <c r="E18" t="str" s="12">
        <v>Ab</v>
      </c>
      <c r="F18" t="str" s="12">
        <v>Absent</v>
      </c>
      <c r="G18" t="str" s="12">
        <v>FALSE</v>
      </c>
      <c r="H18" t="str" s="12">
        <v>FALSE</v>
      </c>
      <c r="I18" t="str" s="12">
        <v>FALSE</v>
      </c>
      <c r="J18" t="str" s="12">
        <v>FALSE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cols>
    <col min="1" max="1" width="20.83203125" customWidth="1"/>
    <col min="2" max="2" width="25.83203125" customWidth="1"/>
    <col min="3" max="3" width="25.83203125" customWidth="1"/>
    <col min="4" max="4" width="25.83203125" customWidth="1"/>
    <col min="5" max="5" width="20.83203125" customWidth="1"/>
    <col min="6" max="6" width="20.83203125" customWidth="1"/>
    <col min="7" max="7" width="50.83203125" customWidth="1"/>
  </cols>
  <sheetData>
    <row r="1">
      <c r="A1" t="str">
        <v>Rule</v>
      </c>
      <c r="B1" t="str">
        <v>Description</v>
      </c>
      <c r="C1" t="str">
        <v>Mode</v>
      </c>
      <c r="D1" t="str">
        <v>Approval</v>
      </c>
      <c r="E1"/>
      <c r="F1"/>
      <c r="G1"/>
    </row>
    <row r="2">
      <c r="A2" t="str">
        <v>Internal</v>
      </c>
      <c r="B2" t="str">
        <v>Combined CA1 + CA2 + CA3 across applicable heads</v>
      </c>
      <c r="C2" t="str">
        <v>TEST ONLY</v>
      </c>
      <c r="D2" t="str">
        <v>Synthetic</v>
      </c>
      <c r="E2"/>
      <c r="F2"/>
      <c r="G2"/>
    </row>
    <row r="3">
      <c r="A3" t="str">
        <v>ESE</v>
      </c>
      <c r="B3" t="str">
        <v>EST, ESP and ESS pass independently</v>
      </c>
      <c r="C3" t="str">
        <v>TEST ONLY</v>
      </c>
      <c r="D3" t="str">
        <v>Synthetic</v>
      </c>
      <c r="E3"/>
      <c r="F3"/>
      <c r="G3"/>
    </row>
    <row r="4">
      <c r="A4" t="str">
        <v>SGPA</v>
      </c>
      <c r="B4" t="str">
        <v>Registered credit weighted; failed/absent zero points</v>
      </c>
      <c r="C4" t="str">
        <v>TEST ONLY</v>
      </c>
      <c r="D4" t="str">
        <v>Synthetic</v>
      </c>
    </row>
    <row r="5">
      <c r="A5" t="str">
        <v>Incomplete</v>
      </c>
      <c r="B5" t="str">
        <v>TNG, pending or withheld blocks SGPA</v>
      </c>
      <c r="C5" t="str">
        <v>TEST ONLY</v>
      </c>
      <c r="D5" t="str">
        <v>Synthetic</v>
      </c>
    </row>
    <row r="6">
      <c r="A6" t="str">
        <v>Live use</v>
      </c>
      <c r="B6" t="str">
        <v>Review per-course numeric maxima and academic rules first</v>
      </c>
      <c r="C6" t="str">
        <v>NOT APPROVED</v>
      </c>
      <c r="D6" t="str">
        <v>Required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cols>
    <col min="1" max="1" width="10.83203125" customWidth="1"/>
    <col min="2" max="2" width="15.83203125" customWidth="1"/>
    <col min="3" max="3" width="15.83203125" customWidth="1"/>
    <col min="4" max="4" width="15.83203125" customWidth="1"/>
    <col min="5" max="5" width="15.83203125" customWidth="1"/>
    <col min="6" max="6" width="15.83203125" customWidth="1"/>
    <col min="7" max="7" width="20.83203125" customWidth="1"/>
    <col min="8" max="8" width="20.83203125" customWidth="1"/>
    <col min="9" max="9" width="30.83203125" customWidth="1"/>
  </cols>
  <sheetData>
    <row r="1">
      <c r="A1" t="str">
        <v>Log_ID</v>
      </c>
      <c r="B1" t="str">
        <v>Action</v>
      </c>
      <c r="C1" t="str">
        <v>PRN</v>
      </c>
      <c r="D1" t="str">
        <v>PaperCode</v>
      </c>
      <c r="E1" t="str">
        <v>Before_Value</v>
      </c>
      <c r="F1" t="str">
        <v>After_Value</v>
      </c>
      <c r="G1" t="str">
        <v>Updated_By</v>
      </c>
      <c r="H1" t="str">
        <v>Updated_At</v>
      </c>
      <c r="I1" t="str">
        <v>Reason</v>
      </c>
    </row>
    <row r="2">
      <c r="A2">
        <v>1</v>
      </c>
      <c r="B2" t="str">
        <v>CA_UPDATE</v>
      </c>
      <c r="C2" t="str">
        <v>1001</v>
      </c>
      <c r="D2" t="str">
        <v>ARCH_501</v>
      </c>
      <c r="E2" t="str">
        <v>90</v>
      </c>
      <c r="F2" t="str">
        <v>92</v>
      </c>
      <c r="G2" t="str">
        <v>Exam Coordinator</v>
      </c>
      <c r="H2" t="str">
        <v>2024-12-01 14:30:00</v>
      </c>
      <c r="I2" t="str">
        <v>CA re-evaluation</v>
      </c>
    </row>
    <row r="3">
      <c r="A3">
        <v>2</v>
      </c>
      <c r="B3" t="str">
        <v>ESE_UPDATE</v>
      </c>
      <c r="C3" t="str">
        <v>1002</v>
      </c>
      <c r="D3" t="str">
        <v>ARCH_501</v>
      </c>
      <c r="E3" t="str">
        <v>PASS</v>
      </c>
      <c r="F3" t="str">
        <v>FAIL</v>
      </c>
      <c r="G3" t="str">
        <v>Exam Controller</v>
      </c>
      <c r="H3" t="str">
        <v>2024-12-15 10:00:00</v>
      </c>
      <c r="I3" t="str">
        <v>ESE practical re-check</v>
      </c>
    </row>
    <row r="4">
      <c r="A4">
        <v>3</v>
      </c>
      <c r="B4" t="str">
        <v>FINAL_RESULT</v>
      </c>
      <c r="C4" t="str">
        <v>1001</v>
      </c>
      <c r="D4" t="str">
        <v>ARCH_501</v>
      </c>
      <c r="E4" t="str">
        <v>PASS</v>
      </c>
      <c r="F4" t="str">
        <v>PASS</v>
      </c>
      <c r="G4" t="str">
        <v>System</v>
      </c>
      <c r="H4" t="str">
        <v>2024-12-20 09:00:00</v>
      </c>
      <c r="I4" t="str">
        <v>Final calculation</v>
      </c>
    </row>
    <row r="5">
      <c r="A5">
        <v>4</v>
      </c>
      <c r="B5" t="str">
        <v>SGPA_UPDATE</v>
      </c>
      <c r="C5" t="str">
        <v>1001</v>
      </c>
      <c r="D5" t="str">
        <v>ARCH_501</v>
      </c>
      <c r="E5" t="str">
        <v>7.25</v>
      </c>
      <c r="F5" t="str">
        <v>7.40</v>
      </c>
      <c r="G5" t="str">
        <v>System</v>
      </c>
      <c r="H5" t="str">
        <v>2024-12-20 09:00:00</v>
      </c>
      <c r="I5" t="str">
        <v>Grade point updated</v>
      </c>
    </row>
    <row r="6">
      <c r="A6">
        <v>5</v>
      </c>
      <c r="B6" t="str">
        <v>FINAL_RESULT</v>
      </c>
      <c r="C6" t="str">
        <v>1002</v>
      </c>
      <c r="D6" t="str">
        <v>ARCH_501</v>
      </c>
      <c r="E6" t="str">
        <v>PASS</v>
      </c>
      <c r="F6" t="str">
        <v>TNG</v>
      </c>
      <c r="G6" t="str">
        <v>System</v>
      </c>
      <c r="H6" t="str">
        <v>2024-12-21 11:00:00</v>
      </c>
      <c r="I6" t="str">
        <v>Internal eligibility failed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cols>
    <col min="1" max="1" width="20.83203125" customWidth="1"/>
    <col min="2" max="2" width="25.83203125" customWidth="1"/>
    <col min="3" max="3" width="10.83203125" customWidth="1"/>
    <col min="4" max="4" width="25.83203125" customWidth="1"/>
    <col min="5" max="5" width="15.83203125" customWidth="1"/>
    <col min="6" max="6" width="10.83203125" customWidth="1"/>
    <col min="7" max="7" width="15.83203125" customWidth="1"/>
  </cols>
  <sheetData>
    <row r="1">
      <c r="A1" t="str">
        <v>Sheet_Name</v>
      </c>
      <c r="B1" t="str">
        <v>Column_Name</v>
      </c>
      <c r="C1" t="str">
        <v>Include_In_Export</v>
      </c>
      <c r="D1" t="str">
        <v>Column_Header_Override</v>
      </c>
      <c r="E1" t="str">
        <v>Data_Type</v>
      </c>
      <c r="F1" t="str">
        <v>Width</v>
      </c>
      <c r="G1" t="str">
        <v>Format</v>
      </c>
    </row>
    <row r="2">
      <c r="A2" t="str">
        <v>Results</v>
      </c>
      <c r="B2" t="str">
        <v>PRN</v>
      </c>
      <c r="C2" t="str">
        <v>YES</v>
      </c>
      <c r="D2" t="str">
        <v>PRN</v>
      </c>
      <c r="E2" t="str">
        <v>number</v>
      </c>
      <c r="F2">
        <v>10</v>
      </c>
      <c r="G2" t="str"/>
    </row>
    <row r="3">
      <c r="A3" t="str">
        <v>Results</v>
      </c>
      <c r="B3" t="str">
        <v>Name of the Student</v>
      </c>
      <c r="C3" t="str">
        <v>YES</v>
      </c>
      <c r="D3" t="str">
        <v>Student Name</v>
      </c>
      <c r="E3" t="str">
        <v>text</v>
      </c>
      <c r="F3">
        <v>25</v>
      </c>
      <c r="G3" t="str"/>
    </row>
    <row r="4">
      <c r="A4" t="str">
        <v>Results</v>
      </c>
      <c r="B4" t="str">
        <v>Grade_Point_Rounded</v>
      </c>
      <c r="C4" t="str">
        <v>YES</v>
      </c>
      <c r="D4" t="str">
        <v>Grade Point</v>
      </c>
      <c r="E4" t="str">
        <v>number</v>
      </c>
      <c r="F4">
        <v>12</v>
      </c>
      <c r="G4" t="str">
        <v>0.00</v>
      </c>
    </row>
    <row r="5">
      <c r="A5" t="str">
        <v>Results</v>
      </c>
      <c r="B5" t="str">
        <v>Final_Status</v>
      </c>
      <c r="C5" t="str">
        <v>YES</v>
      </c>
      <c r="D5" t="str">
        <v>Status</v>
      </c>
      <c r="E5" t="str">
        <v>text</v>
      </c>
      <c r="F5">
        <v>15</v>
      </c>
      <c r="G5" t="str"/>
    </row>
    <row r="6">
      <c r="A6" t="str">
        <v>Results</v>
      </c>
      <c r="B6" t="str">
        <v>Attendance_Status</v>
      </c>
      <c r="C6" t="str">
        <v>YES</v>
      </c>
      <c r="D6" t="str">
        <v>Attendance</v>
      </c>
      <c r="E6" t="str">
        <v>text</v>
      </c>
      <c r="F6">
        <v>12</v>
      </c>
      <c r="G6" t="str"/>
    </row>
    <row r="7">
      <c r="A7" t="str">
        <v>Student_Marks</v>
      </c>
      <c r="B7" t="str">
        <v>Theory</v>
      </c>
      <c r="C7" t="str">
        <v>YES</v>
      </c>
      <c r="D7" t="str">
        <v>Theory Marks</v>
      </c>
      <c r="E7" t="str">
        <v>number</v>
      </c>
      <c r="F7">
        <v>12</v>
      </c>
      <c r="G7" t="str">
        <v>0</v>
      </c>
    </row>
    <row r="8">
      <c r="A8" t="str">
        <v>Student_Marks</v>
      </c>
      <c r="B8" t="str">
        <v>Practical</v>
      </c>
      <c r="C8" t="str">
        <v>YES</v>
      </c>
      <c r="D8" t="str">
        <v>Practical Marks</v>
      </c>
      <c r="E8" t="str">
        <v>number</v>
      </c>
      <c r="F8">
        <v>12</v>
      </c>
      <c r="G8" t="str">
        <v>0</v>
      </c>
    </row>
    <row r="9">
      <c r="A9" t="str">
        <v>Student_Marks</v>
      </c>
      <c r="B9" t="str">
        <v>Skills</v>
      </c>
      <c r="C9" t="str">
        <v>YES</v>
      </c>
      <c r="D9" t="str">
        <v>Skills Marks</v>
      </c>
      <c r="E9" t="str">
        <v>number</v>
      </c>
      <c r="F9">
        <v>12</v>
      </c>
      <c r="G9" t="str">
        <v>0</v>
      </c>
    </row>
    <row r="10">
      <c r="A10" t="str">
        <v>Student_Marks</v>
      </c>
      <c r="B10" t="str">
        <v>Assessment_Type</v>
      </c>
      <c r="C10" t="str">
        <v>YES</v>
      </c>
      <c r="D10" t="str">
        <v>Assessment</v>
      </c>
      <c r="E10" t="str">
        <v>text</v>
      </c>
      <c r="F10">
        <v>15</v>
      </c>
      <c r="G10" t="str"/>
    </row>
    <row r="11">
      <c r="A11" t="str">
        <v>Config</v>
      </c>
      <c r="B11" t="str">
        <v>Setting_Value</v>
      </c>
      <c r="C11" t="str">
        <v>NO</v>
      </c>
      <c r="D11" t="str"/>
      <c r="E11" t="str">
        <v>number</v>
      </c>
      <c r="F11">
        <v>10</v>
      </c>
      <c r="G11" t="str"/>
    </row>
    <row r="12">
      <c r="A12" t="str">
        <v>Audit_Log</v>
      </c>
      <c r="B12" t="str">
        <v>Action</v>
      </c>
      <c r="C12" t="str">
        <v>YES</v>
      </c>
      <c r="D12" t="str">
        <v>Action</v>
      </c>
      <c r="E12" t="str">
        <v>text</v>
      </c>
      <c r="F12">
        <v>15</v>
      </c>
      <c r="G12" t="str"/>
    </row>
    <row r="13">
      <c r="A13" t="str">
        <v>Audit_Log</v>
      </c>
      <c r="B13" t="str">
        <v>PRN</v>
      </c>
      <c r="C13" t="str">
        <v>YES</v>
      </c>
      <c r="D13" t="str">
        <v>PRN</v>
      </c>
      <c r="E13" t="str">
        <v>text</v>
      </c>
      <c r="F13">
        <v>15</v>
      </c>
      <c r="G13" t="str"/>
    </row>
    <row r="14">
      <c r="A14" t="str">
        <v>Audit_Log</v>
      </c>
      <c r="B14" t="str">
        <v>Updated_At</v>
      </c>
      <c r="C14" t="str">
        <v>YES</v>
      </c>
      <c r="D14" t="str">
        <v>Timestamp</v>
      </c>
      <c r="E14" t="str">
        <v>date</v>
      </c>
      <c r="F14">
        <v>20</v>
      </c>
      <c r="G14" t="str">
        <v>YYYY-MM-DD HH:MM:SS</v>
      </c>
    </row>
    <row r="15">
      <c r="A15" t="str">
        <v>Student_Details</v>
      </c>
      <c r="B15" t="str">
        <v>Programme_Type</v>
      </c>
      <c r="C15" t="str">
        <v>YES</v>
      </c>
      <c r="D15" t="str">
        <v>Programme Type</v>
      </c>
      <c r="E15" t="str">
        <v>text</v>
      </c>
      <c r="F15">
        <v>20</v>
      </c>
      <c r="G15" t="str"/>
    </row>
    <row r="16">
      <c r="A16" t="str">
        <v>Grading_Reference</v>
      </c>
      <c r="B16" t="str">
        <v>Grade_Label</v>
      </c>
      <c r="C16" t="str">
        <v>YES</v>
      </c>
      <c r="D16" t="str">
        <v>Grade</v>
      </c>
      <c r="E16" t="str">
        <v>text</v>
      </c>
      <c r="F16">
        <v>10</v>
      </c>
      <c r="G16" t="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cols>
    <col min="1" max="1" width="15.83203125" customWidth="1"/>
    <col min="2" max="2" width="25.83203125" customWidth="1"/>
    <col min="3" max="3" width="15.83203125" customWidth="1"/>
    <col min="4" max="4" width="20.83203125" customWidth="1"/>
    <col min="5" max="5" width="15.83203125" customWidth="1"/>
    <col min="6" max="6" width="15.83203125" customWidth="1"/>
    <col min="7" max="7" width="15.83203125" customWidth="1"/>
    <col min="8" max="8" width="15.83203125" customWidth="1"/>
    <col min="9" max="9" width="15.83203125" customWidth="1"/>
    <col min="10" max="10" width="15.83203125" customWidth="1"/>
    <col min="11" max="11" width="15.83203125" customWidth="1"/>
    <col min="12" max="12" width="15.83203125" customWidth="1"/>
    <col min="13" max="13" width="10.83203125" customWidth="1"/>
    <col min="14" max="14" width="40.83203125" customWidth="1"/>
  </cols>
  <sheetData>
    <row r="1">
      <c r="A1" t="str">
        <v>PRN</v>
      </c>
      <c r="B1" t="str">
        <v>Scenario</v>
      </c>
      <c r="C1" t="str">
        <v>Expected SGPA</v>
      </c>
      <c r="D1" t="str">
        <v>Expected result</v>
      </c>
      <c r="E1"/>
      <c r="F1"/>
      <c r="G1"/>
      <c r="H1"/>
      <c r="I1"/>
      <c r="J1"/>
      <c r="K1"/>
      <c r="L1"/>
      <c r="M1"/>
    </row>
    <row r="2">
      <c r="A2" t="str">
        <v>TEST1001</v>
      </c>
      <c r="B2" t="str">
        <v>Three passed courses, credits 4/3/2</v>
      </c>
      <c r="C2" t="n">
        <v>8</v>
      </c>
      <c r="D2" t="str">
        <v>PASS</v>
      </c>
      <c r="E2"/>
      <c r="F2"/>
      <c r="G2"/>
      <c r="H2"/>
      <c r="I2"/>
      <c r="J2"/>
      <c r="K2"/>
      <c r="L2"/>
      <c r="M2"/>
    </row>
    <row r="3">
      <c r="A3" t="str">
        <v>TEST1003</v>
      </c>
      <c r="B3" t="str">
        <v>Internal 30%, ESE not entered</v>
      </c>
      <c r="C3" t="str">
        <v>WITHHELD</v>
      </c>
      <c r="D3" t="str">
        <v>TNG</v>
      </c>
      <c r="E3"/>
      <c r="F3"/>
      <c r="G3"/>
      <c r="H3"/>
      <c r="I3"/>
      <c r="J3"/>
      <c r="K3"/>
      <c r="L3"/>
      <c r="M3"/>
    </row>
    <row r="4">
      <c r="A4" t="str">
        <v>TEST1005</v>
      </c>
      <c r="B4" t="str">
        <v>CA3 and ESE incomplete</v>
      </c>
      <c r="C4" t="str">
        <v>WITHHELD</v>
      </c>
      <c r="D4" t="str">
        <v>PENDING</v>
      </c>
      <c r="E4"/>
      <c r="F4"/>
      <c r="G4"/>
      <c r="H4"/>
      <c r="I4"/>
      <c r="J4"/>
      <c r="K4"/>
      <c r="L4"/>
      <c r="M4"/>
    </row>
    <row r="5">
      <c r="A5" t="str">
        <v>TEST5001</v>
      </c>
      <c r="B5" t="str">
        <v>Architecture at 80%, credits 4/3/2</v>
      </c>
      <c r="C5" t="n">
        <v>9</v>
      </c>
      <c r="D5" t="str">
        <v>PASS</v>
      </c>
      <c r="E5"/>
      <c r="F5"/>
      <c r="G5"/>
      <c r="H5"/>
      <c r="I5"/>
      <c r="J5"/>
      <c r="K5"/>
      <c r="L5"/>
      <c r="M5"/>
    </row>
    <row r="6">
      <c r="A6"/>
      <c r="B6"/>
      <c r="C6"/>
      <c r="D6"/>
      <c r="E6"/>
      <c r="F6"/>
      <c r="G6"/>
      <c r="H6"/>
      <c r="I6"/>
      <c r="J6"/>
      <c r="K6"/>
      <c r="L6"/>
      <c r="M6"/>
    </row>
    <row r="7">
      <c r="A7"/>
      <c r="B7"/>
      <c r="C7"/>
      <c r="D7"/>
      <c r="E7"/>
      <c r="F7"/>
      <c r="G7"/>
      <c r="H7"/>
      <c r="I7"/>
      <c r="J7"/>
      <c r="K7"/>
      <c r="L7"/>
      <c r="M7"/>
    </row>
    <row r="8">
      <c r="A8"/>
      <c r="B8"/>
      <c r="C8"/>
      <c r="D8"/>
      <c r="E8"/>
      <c r="F8"/>
      <c r="G8"/>
      <c r="H8"/>
      <c r="I8"/>
      <c r="J8"/>
      <c r="K8"/>
      <c r="L8"/>
      <c r="M8"/>
    </row>
    <row r="9">
      <c r="A9"/>
      <c r="B9"/>
      <c r="C9"/>
      <c r="D9"/>
      <c r="E9"/>
      <c r="F9"/>
      <c r="G9"/>
      <c r="H9"/>
      <c r="I9"/>
      <c r="J9"/>
      <c r="K9"/>
      <c r="L9"/>
      <c r="M9"/>
    </row>
    <row r="10">
      <c r="A10"/>
      <c r="B10"/>
      <c r="C10"/>
      <c r="D10"/>
      <c r="E10"/>
      <c r="F10"/>
      <c r="G10"/>
      <c r="H10"/>
      <c r="I10"/>
      <c r="J10"/>
      <c r="K10"/>
      <c r="L10"/>
      <c r="M10"/>
    </row>
    <row r="11">
      <c r="A11"/>
      <c r="B11"/>
      <c r="C11"/>
      <c r="D11"/>
      <c r="E11"/>
      <c r="F11"/>
      <c r="G11"/>
      <c r="H11"/>
      <c r="I11"/>
      <c r="J11"/>
      <c r="K11"/>
      <c r="L11"/>
      <c r="M11"/>
    </row>
    <row r="12">
      <c r="A12"/>
      <c r="B12"/>
      <c r="C12"/>
      <c r="D12"/>
      <c r="E12"/>
      <c r="F12"/>
      <c r="G12"/>
      <c r="H12"/>
      <c r="I12"/>
      <c r="J12"/>
      <c r="K12"/>
      <c r="L12"/>
      <c r="M1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cols>
    <col min="1" max="1" width="25.83203125" customWidth="1"/>
    <col min="2" max="2" width="25.83203125" customWidth="1"/>
    <col min="3" max="3" width="35.83203125" customWidth="1"/>
    <col min="4" max="4" width="35.83203125" customWidth="1"/>
  </cols>
  <sheetData>
    <row r="1">
      <c r="A1" t="str">
        <v>Field_Key</v>
      </c>
      <c r="B1" t="str">
        <v>English</v>
      </c>
      <c r="C1" t="str">
        <v>Hindi</v>
      </c>
      <c r="D1" t="str">
        <v>Regional</v>
      </c>
    </row>
    <row r="2">
      <c r="A2" t="str">
        <v>PRN</v>
      </c>
      <c r="B2" t="str">
        <v>PRN</v>
      </c>
      <c r="C2" t="str">
        <v>प्रवेश क्रमांक</v>
      </c>
      <c r="D2" t="str">
        <v>प्रवेश क्रमांक</v>
      </c>
    </row>
    <row r="3">
      <c r="A3" t="str">
        <v>Name of the Student</v>
      </c>
      <c r="B3" t="str">
        <v>Name of the Student</v>
      </c>
      <c r="C3" t="str">
        <v>विद्यार्थ्याचे नाव</v>
      </c>
      <c r="D3" t="str">
        <v>विद्यार्थ्याचे नाव</v>
      </c>
    </row>
    <row r="4">
      <c r="A4" t="str">
        <v>Theory</v>
      </c>
      <c r="B4" t="str">
        <v>Theory</v>
      </c>
      <c r="C4" t="str">
        <v>सिद्धांत</v>
      </c>
      <c r="D4" t="str">
        <v>सिद्धांत</v>
      </c>
    </row>
    <row r="5">
      <c r="A5" t="str">
        <v>Practical</v>
      </c>
      <c r="B5" t="str">
        <v>Practical</v>
      </c>
      <c r="C5" t="str">
        <v>व्यावहारिक</v>
      </c>
      <c r="D5" t="str">
        <v>व्यावहारिक</v>
      </c>
    </row>
    <row r="6">
      <c r="A6" t="str">
        <v>Skills</v>
      </c>
      <c r="B6" t="str">
        <v>Skills</v>
      </c>
      <c r="C6" t="str">
        <v>कौशल्ये</v>
      </c>
      <c r="D6" t="str">
        <v>कौशल्ये</v>
      </c>
    </row>
    <row r="7">
      <c r="A7" t="str">
        <v>CA1</v>
      </c>
      <c r="B7" t="str">
        <v>CA1</v>
      </c>
      <c r="C7" t="str">
        <v>आंतरिक मूल्यमापन 1</v>
      </c>
      <c r="D7" t="str">
        <v>आंतरिक मूल्यमापन 1</v>
      </c>
    </row>
    <row r="8">
      <c r="A8" t="str">
        <v>CA2</v>
      </c>
      <c r="B8" t="str">
        <v>CA2</v>
      </c>
      <c r="C8" t="str">
        <v>आंतरिक मूल्यमापन 2</v>
      </c>
      <c r="D8" t="str">
        <v>आंतरिक मूल्यमापन 2</v>
      </c>
    </row>
    <row r="9">
      <c r="A9" t="str">
        <v>CA3</v>
      </c>
      <c r="B9" t="str">
        <v>CA3</v>
      </c>
      <c r="C9" t="str">
        <v>आंतरिक मूल्यमापन 3</v>
      </c>
      <c r="D9" t="str">
        <v>आंतरिक मूल्यमापन 3</v>
      </c>
    </row>
    <row r="10">
      <c r="A10" t="str">
        <v>ESE</v>
      </c>
      <c r="B10" t="str">
        <v>ESE</v>
      </c>
      <c r="C10" t="str">
        <v>अंतिम परीक्षा</v>
      </c>
      <c r="D10" t="str">
        <v>अंतिम परीक्षा</v>
      </c>
    </row>
    <row r="11">
      <c r="A11" t="str">
        <v>Total Marks</v>
      </c>
      <c r="B11" t="str">
        <v>Total Marks</v>
      </c>
      <c r="C11" t="str">
        <v>कुल अंक</v>
      </c>
      <c r="D11" t="str">
        <v>कुल अंक</v>
      </c>
    </row>
    <row r="12">
      <c r="A12" t="str">
        <v>Percentage</v>
      </c>
      <c r="B12" t="str">
        <v>Percentage</v>
      </c>
      <c r="C12" t="str">
        <v>टके</v>
      </c>
      <c r="D12" t="str">
        <v>टके</v>
      </c>
    </row>
    <row r="13">
      <c r="A13" t="str">
        <v>Grade</v>
      </c>
      <c r="B13" t="str">
        <v>Grade</v>
      </c>
      <c r="C13" t="str">
        <v>ग्रेड</v>
      </c>
      <c r="D13" t="str">
        <v>ग्रेड</v>
      </c>
    </row>
    <row r="14">
      <c r="A14" t="str">
        <v>Pass</v>
      </c>
      <c r="B14" t="str">
        <v>Pass</v>
      </c>
      <c r="C14" t="str">
        <v>उत्तीर्ण</v>
      </c>
      <c r="D14" t="str">
        <v>उत्तीर्ण</v>
      </c>
    </row>
    <row r="15">
      <c r="A15" t="str">
        <v>Fail</v>
      </c>
      <c r="B15" t="str">
        <v>Fail</v>
      </c>
      <c r="C15" t="str">
        <v>अनुत्तीर्ण</v>
      </c>
      <c r="D15" t="str">
        <v>अनुत्तीर्ण</v>
      </c>
    </row>
    <row r="16">
      <c r="A16" t="str">
        <v>Attendance</v>
      </c>
      <c r="B16" t="str">
        <v>Attendance</v>
      </c>
      <c r="C16" t="str">
        <v>उपस्थिति</v>
      </c>
      <c r="D16" t="str">
        <v>उपस्थिति</v>
      </c>
    </row>
    <row r="17">
      <c r="A17" t="str">
        <v>Status</v>
      </c>
      <c r="B17" t="str">
        <v>Status</v>
      </c>
      <c r="C17" t="str">
        <v>स्थिति</v>
      </c>
      <c r="D17" t="str">
        <v>स्थिति</v>
      </c>
    </row>
    <row r="18">
      <c r="A18" t="str">
        <v>Subject</v>
      </c>
      <c r="B18" t="str">
        <v>Subject</v>
      </c>
      <c r="C18" t="str">
        <v>विषय</v>
      </c>
      <c r="D18" t="str">
        <v>विषय</v>
      </c>
    </row>
    <row r="19">
      <c r="A19" t="str">
        <v>PaperCode</v>
      </c>
      <c r="B19" t="str">
        <v>Paper Code</v>
      </c>
      <c r="C19" t="str">
        <v>पेपर कोड</v>
      </c>
      <c r="D19" t="str">
        <v>पेपर कोड</v>
      </c>
    </row>
    <row r="20">
      <c r="A20" t="str">
        <v>Semester</v>
      </c>
      <c r="B20" t="str">
        <v>Semester</v>
      </c>
      <c r="C20" t="str">
        <v>सेमेस्टर</v>
      </c>
      <c r="D20" t="str">
        <v>सेमेस्टर</v>
      </c>
    </row>
    <row r="21">
      <c r="A21" t="str">
        <v>Academic Year</v>
      </c>
      <c r="B21" t="str">
        <v>Academic Year</v>
      </c>
      <c r="C21" t="str">
        <v>शैक्षणिक वर्ष</v>
      </c>
      <c r="D21" t="str">
        <v>शैक्षणिक वर्ष</v>
      </c>
    </row>
    <row r="22">
      <c r="A22" t="str">
        <v>Programme</v>
      </c>
      <c r="B22" t="str">
        <v>Programme</v>
      </c>
      <c r="C22" t="str">
        <v>कोर्स</v>
      </c>
      <c r="D22" t="str">
        <v>कोर्स</v>
      </c>
    </row>
    <row r="23">
      <c r="A23" t="str">
        <v>CGPA</v>
      </c>
      <c r="B23" t="str">
        <v>CGPA</v>
      </c>
      <c r="C23" t="str">
        <v>संचयी ग्रेड पॉइंट</v>
      </c>
      <c r="D23" t="str">
        <v>संचयी ग्रेड पॉइंट</v>
      </c>
    </row>
    <row r="24">
      <c r="A24" t="str">
        <v>SGPA</v>
      </c>
      <c r="B24" t="str">
        <v>SGPA</v>
      </c>
      <c r="C24" t="str">
        <v>सेमेस्टर ग्रेड पॉइंट</v>
      </c>
      <c r="D24" t="str">
        <v>सेमेस्टर ग्रेड पॉइंट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cols>
    <col min="1" max="1" width="25.83203125" customWidth="1"/>
    <col min="2" max="2" width="35.83203125" customWidth="1"/>
    <col min="3" max="3" width="25.83203125" customWidth="1"/>
    <col min="4" max="4" width="25.83203125" customWidth="1"/>
  </cols>
  <sheetData>
    <row r="1">
      <c r="A1" t="str">
        <v>Condition</v>
      </c>
      <c r="B1" t="str">
        <v>Range</v>
      </c>
      <c r="C1" t="str">
        <v>Fill</v>
      </c>
      <c r="D1" t="str">
        <v>Font</v>
      </c>
      <c r="E1" t="str">
        <v>Border</v>
      </c>
    </row>
    <row r="2">
      <c r="A2" t="str">
        <v>TNG (Term Not Granted)</v>
      </c>
      <c r="B2" t="str">
        <v>Internal_Status, Final_Status columns</v>
      </c>
      <c r="C2" t="str">
        <v>#8B0000 (Dark Red)</v>
      </c>
      <c r="D2" t="str">
        <v>#FFFFFF (White), Bold</v>
      </c>
    </row>
    <row r="3">
      <c r="A3" t="str">
        <v>FAIL</v>
      </c>
      <c r="B3" t="str">
        <v>Internal_Status, Final_Status columns</v>
      </c>
      <c r="C3" t="str">
        <v>#FF0000 (Red)</v>
      </c>
      <c r="D3" t="str">
        <v>Default</v>
      </c>
    </row>
    <row r="4">
      <c r="A4" t="str">
        <v>PASS</v>
      </c>
      <c r="B4" t="str">
        <v>Final_Status column</v>
      </c>
      <c r="C4" t="str">
        <v>#00CC00 (Green)</v>
      </c>
      <c r="D4" t="str">
        <v>Default</v>
      </c>
    </row>
    <row r="5">
      <c r="A5" t="str">
        <v>PENDING</v>
      </c>
      <c r="B5" t="str">
        <v>Status columns</v>
      </c>
      <c r="C5" t="str">
        <v>#FFFF00 (Yellow)</v>
      </c>
      <c r="D5" t="str">
        <v>Default</v>
      </c>
    </row>
    <row r="6">
      <c r="A6" t="str">
        <v>Grade O (Outstanding)</v>
      </c>
      <c r="B6" t="str">
        <v>Grade column where Grade=O</v>
      </c>
      <c r="C6" t="str">
        <v>#FFD700 (Gold)</v>
      </c>
      <c r="D6" t="str">
        <v>Default</v>
      </c>
    </row>
    <row r="7">
      <c r="A7" t="str">
        <v>Grade &gt;= 9 (Excellent)</v>
      </c>
      <c r="B7" t="str">
        <v>Grade_Point column where &gt;=9</v>
      </c>
      <c r="C7" t="str">
        <v>#0000FF (Blue)</v>
      </c>
      <c r="D7" t="str">
        <v>#FFFFFF (White)</v>
      </c>
    </row>
    <row r="8">
      <c r="A8" t="str">
        <v>ESE Head FAIL</v>
      </c>
      <c r="B8" t="str">
        <v>ESE_Theory_Status, ESE_Practical_Status, ESE_Skills_Status</v>
      </c>
      <c r="D8" t="str">
        <v>Default</v>
      </c>
      <c r="E8" t="str">
        <v>#FF0000 (Red, Thick)</v>
      </c>
    </row>
    <row r="9">
      <c r="A9" t="str">
        <v>Internal &lt; Eligibility</v>
      </c>
      <c r="B9" t="str">
        <v>Internal_Percentage column where &lt; 40%</v>
      </c>
      <c r="C9" t="str">
        <v>#FFA500 (Orange)</v>
      </c>
      <c r="D9" t="str">
        <v>Default</v>
      </c>
    </row>
  </sheetData>
  <pageMargins left="0.7" right="0.7" top="0.75" bottom="0.75" header="0.3" footer="0.3"/>
</worksheet>
</file>